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47F7711-CFAA-436A-91C0-665FB4AE83B5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Dashboard" sheetId="4" r:id="rId1"/>
    <sheet name="Analisis" sheetId="3" r:id="rId2"/>
    <sheet name="Data" sheetId="2" r:id="rId3"/>
  </sheets>
  <definedNames>
    <definedName name="_xlnm._FilterDatabase" localSheetId="2" hidden="1">Data!$A$1:$M$301</definedName>
    <definedName name="NativeTimeline_Date">#N/A</definedName>
    <definedName name="SegmentaciónDeDatos_Category">#N/A</definedName>
    <definedName name="SegmentaciónDeDatos_Channel">#N/A</definedName>
  </definedNames>
  <calcPr calcId="191029"/>
  <pivotCaches>
    <pivotCache cacheId="1" r:id="rId4"/>
  </pivotCaches>
  <fileRecoveryPr repairLoad="1"/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</extLst>
</workbook>
</file>

<file path=xl/calcChain.xml><?xml version="1.0" encoding="utf-8"?>
<calcChain xmlns="http://schemas.openxmlformats.org/spreadsheetml/2006/main">
  <c r="G8" i="3" l="1"/>
  <c r="G4" i="3"/>
  <c r="F11" i="3" l="1"/>
  <c r="G16" i="3"/>
</calcChain>
</file>

<file path=xl/sharedStrings.xml><?xml version="1.0" encoding="utf-8"?>
<sst xmlns="http://schemas.openxmlformats.org/spreadsheetml/2006/main" count="1875" uniqueCount="397">
  <si>
    <t>Product</t>
  </si>
  <si>
    <t>Category</t>
  </si>
  <si>
    <t>Revenue</t>
  </si>
  <si>
    <t>Profit</t>
  </si>
  <si>
    <t>Rating</t>
  </si>
  <si>
    <t>Wireless Headphones</t>
  </si>
  <si>
    <t>Electronics</t>
  </si>
  <si>
    <t>Smart Watch</t>
  </si>
  <si>
    <t>Laptop Stand</t>
  </si>
  <si>
    <t>Summer Dress</t>
  </si>
  <si>
    <t>Clothing</t>
  </si>
  <si>
    <t>Yoga Mat</t>
  </si>
  <si>
    <t>Sports</t>
  </si>
  <si>
    <t>Face Serum</t>
  </si>
  <si>
    <t>Beauty</t>
  </si>
  <si>
    <t>Denim Jacket</t>
  </si>
  <si>
    <t>Scented Candle</t>
  </si>
  <si>
    <t>Home &amp; Garden</t>
  </si>
  <si>
    <t>Protein Bars</t>
  </si>
  <si>
    <t>Food</t>
  </si>
  <si>
    <t>Building Blocks</t>
  </si>
  <si>
    <t>Toys</t>
  </si>
  <si>
    <t>North</t>
  </si>
  <si>
    <t>South</t>
  </si>
  <si>
    <t>East</t>
  </si>
  <si>
    <t>West</t>
  </si>
  <si>
    <t>Central</t>
  </si>
  <si>
    <t>Order_ID</t>
  </si>
  <si>
    <t>Date</t>
  </si>
  <si>
    <t>Region</t>
  </si>
  <si>
    <t>Channel</t>
  </si>
  <si>
    <t>Units</t>
  </si>
  <si>
    <t>Unit_Price</t>
  </si>
  <si>
    <t>Cost</t>
  </si>
  <si>
    <t>Status</t>
  </si>
  <si>
    <t>ORD-1002</t>
  </si>
  <si>
    <t>Marketplace</t>
  </si>
  <si>
    <t>Completed</t>
  </si>
  <si>
    <t>ORD-1003</t>
  </si>
  <si>
    <t>Organic Coffee</t>
  </si>
  <si>
    <t>Website</t>
  </si>
  <si>
    <t>ORD-1004</t>
  </si>
  <si>
    <t>Jump Rope</t>
  </si>
  <si>
    <t>Social Media</t>
  </si>
  <si>
    <t>ORD-1005</t>
  </si>
  <si>
    <t>Mobile App</t>
  </si>
  <si>
    <t>ORD-1006</t>
  </si>
  <si>
    <t>Returned</t>
  </si>
  <si>
    <t>ORD-1007</t>
  </si>
  <si>
    <t>Honey Jar</t>
  </si>
  <si>
    <t>ORD-1008</t>
  </si>
  <si>
    <t>Email</t>
  </si>
  <si>
    <t>ORD-1009</t>
  </si>
  <si>
    <t>Succulent Set</t>
  </si>
  <si>
    <t>ORD-1010</t>
  </si>
  <si>
    <t>ORD-1011</t>
  </si>
  <si>
    <t>Lip Gloss Set</t>
  </si>
  <si>
    <t>ORD-1012</t>
  </si>
  <si>
    <t>ORD-1013</t>
  </si>
  <si>
    <t>Throw Pillow</t>
  </si>
  <si>
    <t>ORD-1014</t>
  </si>
  <si>
    <t>Webcam</t>
  </si>
  <si>
    <t>ORD-1015</t>
  </si>
  <si>
    <t>ORD-1016</t>
  </si>
  <si>
    <t>ORD-1017</t>
  </si>
  <si>
    <t>Granola Mix</t>
  </si>
  <si>
    <t>ORD-1018</t>
  </si>
  <si>
    <t>Books</t>
  </si>
  <si>
    <t>Art Journal</t>
  </si>
  <si>
    <t>ORD-1019</t>
  </si>
  <si>
    <t>ORD-1020</t>
  </si>
  <si>
    <t>Resistance Bands</t>
  </si>
  <si>
    <t>ORD-1021</t>
  </si>
  <si>
    <t>Water Bottle</t>
  </si>
  <si>
    <t>ORD-1022</t>
  </si>
  <si>
    <t>ORD-1023</t>
  </si>
  <si>
    <t>Running Shoes</t>
  </si>
  <si>
    <t>Pending</t>
  </si>
  <si>
    <t>ORD-1024</t>
  </si>
  <si>
    <t>ORD-1025</t>
  </si>
  <si>
    <t>Children's Book</t>
  </si>
  <si>
    <t>ORD-1026</t>
  </si>
  <si>
    <t>ORD-1027</t>
  </si>
  <si>
    <t>ORD-1028</t>
  </si>
  <si>
    <t>ORD-1029</t>
  </si>
  <si>
    <t>Moisturizer</t>
  </si>
  <si>
    <t>ORD-1030</t>
  </si>
  <si>
    <t>Herbal Tea</t>
  </si>
  <si>
    <t>ORD-1031</t>
  </si>
  <si>
    <t>Self-Help Guide</t>
  </si>
  <si>
    <t>ORD-1032</t>
  </si>
  <si>
    <t>ORD-1033</t>
  </si>
  <si>
    <t>ORD-1034</t>
  </si>
  <si>
    <t>ORD-1035</t>
  </si>
  <si>
    <t>ORD-1036</t>
  </si>
  <si>
    <t>ORD-1037</t>
  </si>
  <si>
    <t>ORD-1038</t>
  </si>
  <si>
    <t>Gym Gloves</t>
  </si>
  <si>
    <t>ORD-1039</t>
  </si>
  <si>
    <t>ORD-1040</t>
  </si>
  <si>
    <t>ORD-1041</t>
  </si>
  <si>
    <t>ORD-1042</t>
  </si>
  <si>
    <t>Desk Organizer</t>
  </si>
  <si>
    <t>ORD-1043</t>
  </si>
  <si>
    <t>Wall Clock</t>
  </si>
  <si>
    <t>ORD-1044</t>
  </si>
  <si>
    <t>Remote Car</t>
  </si>
  <si>
    <t>ORD-1045</t>
  </si>
  <si>
    <t>ORD-1046</t>
  </si>
  <si>
    <t>ORD-1047</t>
  </si>
  <si>
    <t>Cookbook</t>
  </si>
  <si>
    <t>ORD-1048</t>
  </si>
  <si>
    <t>ORD-1049</t>
  </si>
  <si>
    <t>ORD-1050</t>
  </si>
  <si>
    <t>ORD-1051</t>
  </si>
  <si>
    <t>Casual T-Shirt</t>
  </si>
  <si>
    <t>ORD-1052</t>
  </si>
  <si>
    <t>Hair Mask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</si>
  <si>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</si>
  <si>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</si>
  <si>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</si>
  <si>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</si>
  <si>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</si>
  <si>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</si>
  <si>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</si>
  <si>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</si>
  <si>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</si>
  <si>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</si>
  <si>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</si>
  <si>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Stuffed Animal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</si>
  <si>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</si>
  <si>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</si>
  <si>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</si>
  <si>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</si>
  <si>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</si>
  <si>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</si>
  <si>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</si>
  <si>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</si>
  <si>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</si>
  <si>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</si>
  <si>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</si>
  <si>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</si>
  <si>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</si>
  <si>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</si>
  <si>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</si>
  <si>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</si>
  <si>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</si>
  <si>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</si>
  <si>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</si>
  <si>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</si>
  <si>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</si>
  <si>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</si>
  <si>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</si>
  <si>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</si>
  <si>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</si>
  <si>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</si>
  <si>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</si>
  <si>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</si>
  <si>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Board Game</t>
  </si>
  <si>
    <t>ORD-1092</t>
  </si>
  <si>
    <t>USB Hub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</si>
  <si>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</si>
  <si>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</si>
  <si>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</si>
  <si>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</si>
  <si>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</si>
  <si>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</si>
  <si>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</si>
  <si>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</si>
  <si>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</si>
  <si>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</si>
  <si>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</si>
  <si>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</si>
  <si>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</si>
  <si>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</si>
  <si>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</si>
  <si>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</si>
  <si>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</si>
  <si>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</si>
  <si>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</si>
  <si>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</si>
  <si>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</si>
  <si>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</si>
  <si>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</si>
  <si>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</si>
  <si>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</si>
  <si>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Eyeshadow Palette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</si>
  <si>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</si>
  <si>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</si>
  <si>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</si>
  <si>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</si>
  <si>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</si>
  <si>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</si>
  <si>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</si>
  <si>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</si>
  <si>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</si>
  <si>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</si>
  <si>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</si>
  <si>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</si>
  <si>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</si>
  <si>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</si>
  <si>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</si>
  <si>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Yoga Pants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</si>
  <si>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</si>
  <si>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</si>
  <si>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</si>
  <si>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</si>
  <si>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</si>
  <si>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</si>
  <si>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</si>
  <si>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</si>
  <si>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</si>
  <si>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</si>
  <si>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</si>
  <si>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</si>
  <si>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</si>
  <si>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</si>
  <si>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</si>
  <si>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</si>
  <si>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</si>
  <si>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</si>
  <si>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</si>
  <si>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</si>
  <si>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</si>
  <si>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</si>
  <si>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</si>
  <si>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</si>
  <si>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</si>
  <si>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</si>
  <si>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</si>
  <si>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</si>
  <si>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</si>
  <si>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</si>
  <si>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</si>
  <si>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</si>
  <si>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</si>
  <si>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</si>
  <si>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</si>
  <si>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</si>
  <si>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</si>
  <si>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</si>
  <si>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</si>
  <si>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</si>
  <si>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</si>
  <si>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</si>
  <si>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</si>
  <si>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</si>
  <si>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</si>
  <si>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</si>
  <si>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</si>
  <si>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</si>
  <si>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</si>
  <si>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</si>
  <si>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</si>
  <si>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</si>
  <si>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Novel Bestseller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</si>
  <si>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</si>
  <si>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</si>
  <si>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</si>
  <si>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</si>
  <si>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</si>
  <si>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</si>
  <si>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</si>
  <si>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</si>
  <si>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</si>
  <si>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</si>
  <si>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</si>
  <si>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</si>
  <si>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</si>
  <si>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</si>
  <si>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</si>
  <si>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</si>
  <si>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</si>
  <si>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</si>
  <si>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</si>
  <si>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</si>
  <si>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</si>
  <si>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</si>
  <si>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</si>
  <si>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</si>
  <si>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</si>
  <si>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</si>
  <si>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</si>
  <si>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</si>
  <si>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</si>
  <si>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</si>
  <si>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</si>
  <si>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</si>
  <si>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</si>
  <si>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</si>
  <si>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</si>
  <si>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</si>
  <si>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</si>
  <si>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</si>
  <si>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</si>
  <si>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</si>
  <si>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</si>
  <si>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</si>
  <si>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</si>
  <si>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</si>
  <si>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</si>
  <si>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</si>
  <si>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</si>
  <si>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Puzzle Set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</si>
  <si>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</si>
  <si>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</si>
  <si>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</si>
  <si>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</si>
  <si>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</si>
  <si>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</si>
  <si>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</si>
  <si>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</si>
  <si>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</si>
  <si>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</si>
  <si>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</si>
  <si>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</si>
  <si>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</si>
  <si>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</si>
  <si>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</si>
  <si>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</si>
  <si>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</si>
  <si>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</si>
  <si>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</si>
  <si>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</si>
  <si>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</si>
  <si>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</si>
  <si>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</si>
  <si>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</si>
  <si>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</si>
  <si>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</si>
  <si>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</si>
  <si>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</si>
  <si>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</si>
  <si>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</si>
  <si>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</si>
  <si>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</si>
  <si>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</si>
  <si>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</si>
  <si>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</si>
  <si>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</si>
  <si>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</si>
  <si>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</si>
  <si>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</si>
  <si>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</si>
  <si>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</si>
  <si>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</si>
  <si>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</si>
  <si>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</si>
  <si>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</si>
  <si>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</si>
  <si>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</si>
  <si>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</si>
  <si>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</si>
  <si>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</si>
  <si>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</si>
  <si>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</si>
  <si>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</si>
  <si>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</si>
  <si>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</si>
  <si>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</si>
  <si>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</si>
  <si>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</si>
  <si>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</si>
  <si>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</si>
  <si>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</si>
  <si>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</si>
  <si>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</si>
  <si>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</si>
  <si>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</si>
  <si>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</si>
  <si>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</si>
  <si>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</si>
  <si>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</si>
  <si>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</si>
  <si>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Total Revenue</t>
  </si>
  <si>
    <t>Suma de Revenue</t>
  </si>
  <si>
    <t>Total Orders</t>
  </si>
  <si>
    <t>Avg Order Value</t>
  </si>
  <si>
    <t>Profit Margin</t>
  </si>
  <si>
    <t>Cuenta de Order_ID</t>
  </si>
  <si>
    <t>Suma de Profit</t>
  </si>
  <si>
    <t>Etiquetas de fila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</si>
  <si>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</si>
  <si>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</si>
  <si>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</si>
  <si>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</si>
  <si>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</si>
  <si>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</si>
  <si>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</si>
  <si>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</si>
  <si>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</si>
  <si>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</si>
  <si>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</si>
  <si>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</si>
  <si>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</si>
  <si>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Suma de Units</t>
  </si>
  <si>
    <t>Cuenta de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</si>
</sst>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6" formatCode="_-[$$-2C0A]\ * #,##0.00_-;\-[$$-2C0A]\ * #,##0.00_-;_-[$$-2C0A]\ * &quot;-&quot;??_-;_-@_-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2D3250"/>
      <name val="Arial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D3250"/>
      </patternFill>
    </fill>
    <fill>
      <patternFill patternType="solid">
        <fgColor rgb="FF1A535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0" fillId="3" borderId="0" xfId="0" applyFill="1"/>
    <xf numFmtId="166" fontId="0" fillId="0" borderId="0" xfId="0" applyNumberFormat="1"/>
    <xf numFmtId="0" fontId="0" fillId="0" borderId="0" xfId="0" pivotButton="1"/>
    <xf numFmtId="0" fontId="0" fillId="0" borderId="0" xfId="0" applyNumberFormat="1"/>
    <xf numFmtId="164" fontId="0" fillId="0" borderId="0" xfId="1" applyNumberFormat="1" applyFont="1"/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4" fontId="2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8">
    <dxf>
      <font>
        <color theme="0"/>
      </font>
      <fill>
        <patternFill>
          <fgColor rgb="FF4ECDC4"/>
        </patternFill>
      </fill>
    </dxf>
    <dxf>
      <numFmt numFmtId="0" formatCode="General"/>
    </dxf>
    <dxf>
      <numFmt numFmtId="166" formatCode="_-[$$-2C0A]\ * #,##0.00_-;\-[$$-2C0A]\ * #,##0.00_-;_-[$$-2C0A]\ * &quot;-&quot;??_-;_-@_-"/>
    </dxf>
    <dxf>
      <numFmt numFmtId="166" formatCode="_-[$$-2C0A]\ * #,##0.00_-;\-[$$-2C0A]\ * #,##0.00_-;_-[$$-2C0A]\ * &quot;-&quot;??_-;_-@_-"/>
    </dxf>
    <dxf>
      <numFmt numFmtId="166" formatCode="_-[$$-2C0A]\ * #,##0.00_-;\-[$$-2C0A]\ * #,##0.00_-;_-[$$-2C0A]\ * &quot;-&quot;??_-;_-@_-"/>
    </dxf>
    <dxf>
      <numFmt numFmtId="0" formatCode="General"/>
    </dxf>
    <dxf>
      <numFmt numFmtId="166" formatCode="_-[$$-2C0A]\ * #,##0.00_-;\-[$$-2C0A]\ * #,##0.00_-;_-[$$-2C0A]\ * &quot;-&quot;??_-;_-@_-"/>
    </dxf>
    <dxf>
      <numFmt numFmtId="0" formatCode="General"/>
    </dxf>
  </dxfs>
  <tableStyles count="1" defaultTableStyle="TableStyleMedium9" defaultPivotStyle="PivotStyleLight16">
    <tableStyle name="Estilo de segmentación de datos 1" pivot="0" table="0" count="3" xr9:uid="{5AA7C4C8-8214-4F45-A894-3A4A513B86E9}">
      <tableStyleElement type="wholeTable" dxfId="0"/>
    </tableStyle>
  </tableStyles>
  <colors>
    <mruColors>
      <color rgb="FFA8E6E2"/>
      <color rgb="FF4ECDC4"/>
      <color rgb="FF1A535C"/>
      <color rgb="FFFFE66D"/>
      <color rgb="FFFF6B6B"/>
      <color rgb="FF16A514"/>
    </mruColors>
  </colors>
  <extLst>
    <ext xmlns:x14="http://schemas.microsoft.com/office/spreadsheetml/2009/9/main" uri="{46F421CA-312F-682f-3DD2-61675219B42D}">
      <x14:dxfs count="2">
        <dxf>
          <fill>
            <patternFill>
              <fgColor rgb="FFA8E6E2"/>
            </patternFill>
          </fill>
        </dxf>
        <dxf>
          <fill>
            <patternFill>
              <fgColor rgb="FF4ECDC4"/>
            </patternFill>
          </fill>
        </dxf>
      </x14:dxfs>
    </ext>
    <ext xmlns:x14="http://schemas.microsoft.com/office/spreadsheetml/2009/9/main" uri="{EB79DEF2-80B8-43e5-95BD-54CBDDF9020C}">
      <x14:slicerStyles defaultSlicerStyle="Estilo de segmentación de datos 1">
        <x14:slicerStyle name="Estilo de segmentación de datos 1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[dashboard-ecommerce.xlsx]Analisis!TablaDinámica5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600" b="1" i="0" u="none" strike="noStrike" baseline="0">
                <a:latin typeface="Segoe UI Black" panose="020B0A02040204020203" pitchFamily="34" charset="0"/>
                <a:ea typeface="Segoe UI Black" panose="020B0A02040204020203" pitchFamily="34" charset="0"/>
              </a:rPr>
              <a:t>Monthly revenue trend</a:t>
            </a:r>
            <a:endParaRPr lang="en-US">
              <a:latin typeface="Segoe UI Black" panose="020B0A02040204020203" pitchFamily="34" charset="0"/>
              <a:ea typeface="Segoe UI Black" panose="020B0A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Analisis!$B$2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Analisis!$A$3:$A$15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Analisis!$B$3:$B$15</c:f>
              <c:numCache>
                <c:formatCode>_-[$$-2C0A]\ * #,##0.00_-;\-[$$-2C0A]\ * #,##0.00_-;_-[$$-2C0A]\ * "-"??_-;_-@_-</c:formatCode>
                <c:ptCount val="12"/>
                <c:pt idx="0">
                  <c:v>225991.83</c:v>
                </c:pt>
                <c:pt idx="1">
                  <c:v>200243.37999999998</c:v>
                </c:pt>
                <c:pt idx="2">
                  <c:v>194121.31999999998</c:v>
                </c:pt>
                <c:pt idx="3">
                  <c:v>169497.65000000002</c:v>
                </c:pt>
                <c:pt idx="4">
                  <c:v>181495.4</c:v>
                </c:pt>
                <c:pt idx="5">
                  <c:v>177099.81</c:v>
                </c:pt>
                <c:pt idx="6">
                  <c:v>149565.69000000003</c:v>
                </c:pt>
                <c:pt idx="7">
                  <c:v>144725.51000000004</c:v>
                </c:pt>
                <c:pt idx="8">
                  <c:v>182921.44</c:v>
                </c:pt>
                <c:pt idx="9">
                  <c:v>173999.19</c:v>
                </c:pt>
                <c:pt idx="10">
                  <c:v>166362.01000000004</c:v>
                </c:pt>
                <c:pt idx="11">
                  <c:v>167755.71999999997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9-482F-A812-34C95E0D8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3548560"/>
        <c:axId val="1773549040"/>
      </c:lineChart>
      <c:catAx>
        <c:axId val="177354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73549040"/>
        <c:crosses val="autoZero"/>
        <c:auto val="1"/>
        <c:lblAlgn val="ctr"/>
        <c:lblOffset val="100"/>
        <c:noMultiLvlLbl val="0"/>
      </c:catAx>
      <c:valAx>
        <c:axId val="1773549040"/>
        <c:scaling>
          <c:orientation val="minMax"/>
        </c:scaling>
        <c:delete val="0"/>
        <c:axPos val="l"/>
        <c:numFmt formatCode="_-[$$-2C0A]\ * #,##0.00_-;\-[$$-2C0A]\ * #,##0.00_-;_-[$$-2C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7354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[dashboard-ecommerce.xlsx]Analisis!TablaDinámica6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Analisis!$B$17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Analisis!$A$18:$A$26</c:f>
              <c:strCache>
                <c:ptCount val="8"/>
                <c:pt idx="0">
                  <c:v>Clothing</c:v>
                </c:pt>
                <c:pt idx="1">
                  <c:v>Home &amp; Garden</c:v>
                </c:pt>
                <c:pt idx="2">
                  <c:v>Toys</c:v>
                </c:pt>
                <c:pt idx="3">
                  <c:v>Beauty</c:v>
                </c:pt>
                <c:pt idx="4">
                  <c:v>Electronics</c:v>
                </c:pt>
                <c:pt idx="5">
                  <c:v>Food</c:v>
                </c:pt>
                <c:pt idx="6">
                  <c:v>Books</c:v>
                </c:pt>
                <c:pt idx="7">
                  <c:v>Sports</c:v>
                </c:pt>
              </c:strCache>
            </c:strRef>
          </c:cat>
          <c:val>
            <c:numRef>
              <c:f>Analisis!$B$18:$B$26</c:f>
              <c:numCache>
                <c:formatCode>_-[$$-2C0A]\ * #,##0.00_-;\-[$$-2C0A]\ * #,##0.00_-;_-[$$-2C0A]\ * "-"??_-;_-@_-</c:formatCode>
                <c:ptCount val="8"/>
                <c:pt idx="0">
                  <c:v>191420.69</c:v>
                </c:pt>
                <c:pt idx="1">
                  <c:v>204443.41000000003</c:v>
                </c:pt>
                <c:pt idx="2">
                  <c:v>226711.98</c:v>
                </c:pt>
                <c:pt idx="3">
                  <c:v>237623.30999999997</c:v>
                </c:pt>
                <c:pt idx="4">
                  <c:v>239122.74</c:v>
                </c:pt>
                <c:pt idx="5">
                  <c:v>325773.47000000003</c:v>
                </c:pt>
                <c:pt idx="6">
                  <c:v>348456.97</c:v>
                </c:pt>
                <c:pt idx="7">
                  <c:v>360226.38000000006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B-4C00-A170-AB069CF66DA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773552880"/>
        <c:axId val="1773542800"/>
      </c:barChart>
      <c:catAx>
        <c:axId val="1773552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73542800"/>
        <c:crosses val="autoZero"/>
        <c:auto val="1"/>
        <c:lblAlgn val="ctr"/>
        <c:lblOffset val="100"/>
        <c:noMultiLvlLbl val="0"/>
      </c:catAx>
      <c:valAx>
        <c:axId val="1773542800"/>
        <c:scaling>
          <c:orientation val="minMax"/>
        </c:scaling>
        <c:delete val="1"/>
        <c:axPos val="b"/>
        <c:numFmt formatCode="_-[$$-2C0A]\ * #,##0.00_-;\-[$$-2C0A]\ * #,##0.00_-;_-[$$-2C0A]\ * &quot;-&quot;??_-;_-@_-" sourceLinked="1"/>
        <c:majorTickMark val="none"/>
        <c:minorTickMark val="none"/>
        <c:tickLblPos val="nextTo"/>
        <c:crossAx val="177355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[dashboard-ecommerce.xlsx]Analisis!TablaDinámica7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by sales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Analisis!$B$28</c:f>
              <c:strCache>
                <c:ptCount val="1"/>
                <c:pt idx="0">
                  <c:v>Total</c:v>
                </c:pt>
              </c:strCache>
            </c:strRef>
          </c:tx>
          <c:explosion val="6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2FD-4492-B96D-B792E4C65B48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2FD-4492-B96D-B792E4C65B48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2FD-4492-B96D-B792E4C65B48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2FD-4492-B96D-B792E4C65B48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2FD-4492-B96D-B792E4C65B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Analisis!$A$29:$A$34</c:f>
              <c:strCache>
                <c:ptCount val="5"/>
                <c:pt idx="0">
                  <c:v>Email</c:v>
                </c:pt>
                <c:pt idx="1">
                  <c:v>Marketplace</c:v>
                </c:pt>
                <c:pt idx="2">
                  <c:v>Mobile App</c:v>
                </c:pt>
                <c:pt idx="3">
                  <c:v>Social Media</c:v>
                </c:pt>
                <c:pt idx="4">
                  <c:v>Website</c:v>
                </c:pt>
              </c:strCache>
            </c:strRef>
          </c:cat>
          <c:val>
            <c:numRef>
              <c:f>Analisis!$B$29:$B$34</c:f>
              <c:numCache>
                <c:formatCode>_-[$$-2C0A]\ * #,##0.00_-;\-[$$-2C0A]\ * #,##0.00_-;_-[$$-2C0A]\ * "-"??_-;_-@_-</c:formatCode>
                <c:ptCount val="5"/>
                <c:pt idx="0">
                  <c:v>342642.11000000022</c:v>
                </c:pt>
                <c:pt idx="1">
                  <c:v>298069.03000000003</c:v>
                </c:pt>
                <c:pt idx="2">
                  <c:v>496834.46000000014</c:v>
                </c:pt>
                <c:pt idx="3">
                  <c:v>507220.23</c:v>
                </c:pt>
                <c:pt idx="4">
                  <c:v>489013.11999999994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2FD-4492-B96D-B792E4C65B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762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[dashboard-ecommerce.xlsx]Analisis!TablaDinámica8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latin typeface="Segoe UI Black" panose="020B0A02040204020203" pitchFamily="34" charset="0"/>
                <a:ea typeface="Segoe UI Black" panose="020B0A02040204020203" pitchFamily="34" charset="0"/>
              </a:rPr>
              <a:t>Units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Analisis!$B$37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Analisis!$A$38:$A$50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Analisis!$B$38:$B$50</c:f>
              <c:numCache>
                <c:formatCode>General</c:formatCode>
                <c:ptCount val="12"/>
                <c:pt idx="0">
                  <c:v>724</c:v>
                </c:pt>
                <c:pt idx="1">
                  <c:v>771</c:v>
                </c:pt>
                <c:pt idx="2">
                  <c:v>638</c:v>
                </c:pt>
                <c:pt idx="3">
                  <c:v>670</c:v>
                </c:pt>
                <c:pt idx="4">
                  <c:v>691</c:v>
                </c:pt>
                <c:pt idx="5">
                  <c:v>637</c:v>
                </c:pt>
                <c:pt idx="6">
                  <c:v>556</c:v>
                </c:pt>
                <c:pt idx="7">
                  <c:v>646</c:v>
                </c:pt>
                <c:pt idx="8">
                  <c:v>733</c:v>
                </c:pt>
                <c:pt idx="9">
                  <c:v>594</c:v>
                </c:pt>
                <c:pt idx="10">
                  <c:v>652</c:v>
                </c:pt>
                <c:pt idx="11">
                  <c:v>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A-41E0-9E6F-378E91BB037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49495184"/>
        <c:axId val="1749494224"/>
      </c:lineChart>
      <c:catAx>
        <c:axId val="174949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49494224"/>
        <c:crosses val="autoZero"/>
        <c:auto val="1"/>
        <c:lblAlgn val="ctr"/>
        <c:lblOffset val="100"/>
        <c:noMultiLvlLbl val="0"/>
      </c:catAx>
      <c:valAx>
        <c:axId val="1749494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4949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101600" dist="508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[dashboard-ecommerce.xlsx]Analisis!TablaDinámica3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ECDC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ysClr val="windowText" lastClr="000000">
                <a:lumMod val="50000"/>
                <a:lumOff val="50000"/>
              </a:sysClr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4ECDC4"/>
          </a:solidFill>
          <a:ln>
            <a:noFill/>
          </a:ln>
          <a:effectLst/>
          <a:sp3d/>
        </c:spPr>
        <c:dLbl>
          <c:idx val="0"/>
          <c:layout>
            <c:manualLayout>
              <c:x val="5.2287581699346402E-3"/>
              <c:y val="-6.9444444444444531E-2"/>
            </c:manualLayout>
          </c:layout>
          <c:spPr>
            <a:solidFill>
              <a:sysClr val="windowText" lastClr="000000">
                <a:lumMod val="50000"/>
                <a:lumOff val="50000"/>
              </a:sysClr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4ECDC4"/>
          </a:solidFill>
          <a:ln>
            <a:noFill/>
          </a:ln>
          <a:effectLst/>
          <a:sp3d/>
        </c:spPr>
        <c:dLbl>
          <c:idx val="0"/>
          <c:layout>
            <c:manualLayout>
              <c:x val="1.3071895424836602E-2"/>
              <c:y val="-6.0185185185185182E-2"/>
            </c:manualLayout>
          </c:layout>
          <c:spPr>
            <a:solidFill>
              <a:sysClr val="windowText" lastClr="000000">
                <a:lumMod val="50000"/>
                <a:lumOff val="50000"/>
              </a:sysClr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4ECDC4"/>
          </a:solidFill>
          <a:ln>
            <a:noFill/>
          </a:ln>
          <a:effectLst/>
          <a:sp3d/>
        </c:spPr>
        <c:dLbl>
          <c:idx val="0"/>
          <c:layout>
            <c:manualLayout>
              <c:x val="4.1830065359477121E-2"/>
              <c:y val="-7.407407407407407E-2"/>
            </c:manualLayout>
          </c:layout>
          <c:spPr>
            <a:solidFill>
              <a:sysClr val="windowText" lastClr="000000">
                <a:lumMod val="50000"/>
                <a:lumOff val="50000"/>
              </a:sysClr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Analisis!$B$54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ECDC4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AFFF-4808-B407-0DDC6B14DBE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FFF-4808-B407-0DDC6B14DBE5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FFF-4808-B407-0DDC6B14DBE5}"/>
              </c:ext>
            </c:extLst>
          </c:dPt>
          <c:dLbls>
            <c:dLbl>
              <c:idx val="0"/>
              <c:layout>
                <c:manualLayout>
                  <c:x val="4.1830065359477121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FFF-4808-B407-0DDC6B14DBE5}"/>
                </c:ext>
              </c:extLst>
            </c:dLbl>
            <c:dLbl>
              <c:idx val="1"/>
              <c:layout>
                <c:manualLayout>
                  <c:x val="1.3071895424836602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FF-4808-B407-0DDC6B14DBE5}"/>
                </c:ext>
              </c:extLst>
            </c:dLbl>
            <c:dLbl>
              <c:idx val="2"/>
              <c:layout>
                <c:manualLayout>
                  <c:x val="5.2287581699346402E-3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FFF-4808-B407-0DDC6B14DBE5}"/>
                </c:ext>
              </c:extLst>
            </c:dLbl>
            <c:spPr>
              <a:solidFill>
                <a:sysClr val="windowText" lastClr="000000">
                  <a:lumMod val="50000"/>
                  <a:lumOff val="50000"/>
                </a:sysClr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Analisis!$A$55:$A$58</c:f>
              <c:strCache>
                <c:ptCount val="3"/>
                <c:pt idx="0">
                  <c:v>Completed</c:v>
                </c:pt>
                <c:pt idx="1">
                  <c:v>Pending</c:v>
                </c:pt>
                <c:pt idx="2">
                  <c:v>Returned</c:v>
                </c:pt>
              </c:strCache>
            </c:strRef>
          </c:cat>
          <c:val>
            <c:numRef>
              <c:f>Analisis!$B$55:$B$58</c:f>
              <c:numCache>
                <c:formatCode>General</c:formatCode>
                <c:ptCount val="3"/>
                <c:pt idx="0">
                  <c:v>270</c:v>
                </c:pt>
                <c:pt idx="1">
                  <c:v>16</c:v>
                </c:pt>
                <c:pt idx="2">
                  <c:v>14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AFFF-4808-B407-0DDC6B14D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838634688"/>
        <c:axId val="555964176"/>
        <c:axId val="0"/>
      </c:bar3DChart>
      <c:catAx>
        <c:axId val="83863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55964176"/>
        <c:crosses val="autoZero"/>
        <c:auto val="1"/>
        <c:lblAlgn val="ctr"/>
        <c:lblOffset val="100"/>
        <c:noMultiLvlLbl val="0"/>
      </c:catAx>
      <c:valAx>
        <c:axId val="55596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3863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76200" dir="2700000" algn="tl" rotWithShape="0">
        <a:prstClr val="black">
          <a:alpha val="51000"/>
        </a:prstClr>
      </a:outerShdw>
    </a:effectLst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199549</xdr:colOff>
      <xdr:row>0</xdr:row>
      <xdr:rowOff>48102</xdr:rowOff>
    </xdr:from>
    <xdr:to>
      <xdr:col>20</xdr:col>
      <xdr:colOff>176689</xdr:colOff>
      <xdr:row>3</xdr:row>
      <xdr:rowOff>48102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E22D335-50C1-221B-1FE1-8FD714DAA8EE}"/>
            </a:ext>
          </a:extLst>
        </xdr:cNvPr>
        <xdr:cNvSpPr txBox="1"/>
      </xdr:nvSpPr>
      <xdr:spPr>
        <a:xfrm>
          <a:off x="7057549" y="48102"/>
          <a:ext cx="835914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320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E-COMMERCE ANALYTICS DASHBOARD</a:t>
          </a:r>
        </a:p>
      </xdr:txBody>
    </xdr:sp>
    <xdr:clientData/>
  </xdr:twoCellAnchor>
  <xdr:twoCellAnchor>
    <xdr:from>
      <xdr:col>3</xdr:col>
      <xdr:colOff>372904</xdr:colOff>
      <xdr:row>7</xdr:row>
      <xdr:rowOff>25241</xdr:rowOff>
    </xdr:from>
    <xdr:to>
      <xdr:col>7</xdr:col>
      <xdr:colOff>411004</xdr:colOff>
      <xdr:row>14</xdr:row>
      <xdr:rowOff>185261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B6C29A16-028D-CCE6-4490-80684EAAE640}"/>
            </a:ext>
          </a:extLst>
        </xdr:cNvPr>
        <xdr:cNvGrpSpPr/>
      </xdr:nvGrpSpPr>
      <xdr:grpSpPr>
        <a:xfrm>
          <a:off x="2658904" y="1358741"/>
          <a:ext cx="3086100" cy="1493520"/>
          <a:chOff x="655320" y="1104900"/>
          <a:chExt cx="3208020" cy="1432560"/>
        </a:xfrm>
      </xdr:grpSpPr>
      <xdr:sp macro="" textlink="Analisis!G4">
        <xdr:nvSpPr>
          <xdr:cNvPr id="7" name="Rectángulo: esquinas redondeadas 6">
            <a:extLst>
              <a:ext uri="{FF2B5EF4-FFF2-40B4-BE49-F238E27FC236}">
                <a16:creationId xmlns:a16="http://schemas.microsoft.com/office/drawing/2014/main" id="{8144B23C-A934-E597-34FA-9D67CB360028}"/>
              </a:ext>
            </a:extLst>
          </xdr:cNvPr>
          <xdr:cNvSpPr/>
        </xdr:nvSpPr>
        <xdr:spPr>
          <a:xfrm>
            <a:off x="655320" y="1104900"/>
            <a:ext cx="3208020" cy="1432560"/>
          </a:xfrm>
          <a:prstGeom prst="roundRect">
            <a:avLst/>
          </a:prstGeom>
          <a:solidFill>
            <a:srgbClr val="4ECDC4"/>
          </a:solidFill>
          <a:ln>
            <a:noFill/>
          </a:ln>
          <a:effectLst>
            <a:outerShdw blurRad="1016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A4A408E-229E-4C3C-933C-D3D21E0EB157}" type="TxLink">
              <a:rPr lang="en-US" sz="28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 $ 2.133.778,95 </a:t>
            </a:fld>
            <a:endParaRPr lang="es-AR" sz="2800">
              <a:solidFill>
                <a:schemeClr val="bg1"/>
              </a:solidFill>
            </a:endParaRP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589322AC-BE83-4F29-0ECF-1A20C707AF4F}"/>
              </a:ext>
            </a:extLst>
          </xdr:cNvPr>
          <xdr:cNvSpPr txBox="1"/>
        </xdr:nvSpPr>
        <xdr:spPr>
          <a:xfrm>
            <a:off x="1341120" y="1219200"/>
            <a:ext cx="191262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AR" sz="1100">
                <a:latin typeface="Segoe UI Black" panose="020B0A02040204020203" pitchFamily="34" charset="0"/>
                <a:ea typeface="Segoe UI Black" panose="020B0A02040204020203" pitchFamily="34" charset="0"/>
              </a:rPr>
              <a:t>💰 </a:t>
            </a:r>
            <a:r>
              <a:rPr lang="es-AR" sz="1600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Total Revenue</a:t>
            </a:r>
          </a:p>
        </xdr:txBody>
      </xdr:sp>
    </xdr:grpSp>
    <xdr:clientData/>
  </xdr:twoCellAnchor>
  <xdr:twoCellAnchor>
    <xdr:from>
      <xdr:col>7</xdr:col>
      <xdr:colOff>468154</xdr:colOff>
      <xdr:row>7</xdr:row>
      <xdr:rowOff>25241</xdr:rowOff>
    </xdr:from>
    <xdr:to>
      <xdr:col>11</xdr:col>
      <xdr:colOff>494824</xdr:colOff>
      <xdr:row>14</xdr:row>
      <xdr:rowOff>185261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E2206963-042F-1957-37AC-8148BD97A829}"/>
            </a:ext>
          </a:extLst>
        </xdr:cNvPr>
        <xdr:cNvGrpSpPr/>
      </xdr:nvGrpSpPr>
      <xdr:grpSpPr>
        <a:xfrm>
          <a:off x="5802154" y="1358741"/>
          <a:ext cx="3074670" cy="1493520"/>
          <a:chOff x="3939540" y="1104900"/>
          <a:chExt cx="3208020" cy="1432560"/>
        </a:xfrm>
      </xdr:grpSpPr>
      <xdr:sp macro="" textlink="Analisis!G8">
        <xdr:nvSpPr>
          <xdr:cNvPr id="9" name="Rectángulo: esquinas redondeadas 8">
            <a:extLst>
              <a:ext uri="{FF2B5EF4-FFF2-40B4-BE49-F238E27FC236}">
                <a16:creationId xmlns:a16="http://schemas.microsoft.com/office/drawing/2014/main" id="{ADCF49DE-6D98-4EF3-B536-89AE1BB25B21}"/>
              </a:ext>
            </a:extLst>
          </xdr:cNvPr>
          <xdr:cNvSpPr/>
        </xdr:nvSpPr>
        <xdr:spPr>
          <a:xfrm>
            <a:off x="3939540" y="1104900"/>
            <a:ext cx="3208020" cy="1432560"/>
          </a:xfrm>
          <a:prstGeom prst="roundRect">
            <a:avLst/>
          </a:prstGeom>
          <a:solidFill>
            <a:srgbClr val="4ECDC4"/>
          </a:solidFill>
          <a:ln>
            <a:noFill/>
          </a:ln>
          <a:effectLst>
            <a:outerShdw blurRad="101600" dist="38100" dir="2700000" algn="tl" rotWithShape="0">
              <a:prstClr val="black">
                <a:alpha val="40000"/>
              </a:prstClr>
            </a:outerShdw>
            <a:softEdge rad="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A62B99C-2EFF-4F3C-9D61-77D5EABBA759}" type="TxLink">
              <a:rPr lang="en-US" sz="28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300</a:t>
            </a:fld>
            <a:endParaRPr lang="es-AR" sz="6000">
              <a:solidFill>
                <a:schemeClr val="bg1"/>
              </a:solidFill>
            </a:endParaRPr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214CE9DF-B921-400D-BE77-8C5B55BAEA17}"/>
              </a:ext>
            </a:extLst>
          </xdr:cNvPr>
          <xdr:cNvSpPr txBox="1"/>
        </xdr:nvSpPr>
        <xdr:spPr>
          <a:xfrm>
            <a:off x="4632959" y="1226820"/>
            <a:ext cx="2060428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AR" sz="1600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📦 Total Orders</a:t>
            </a:r>
          </a:p>
        </xdr:txBody>
      </xdr:sp>
    </xdr:grpSp>
    <xdr:clientData/>
  </xdr:twoCellAnchor>
  <xdr:twoCellAnchor>
    <xdr:from>
      <xdr:col>11</xdr:col>
      <xdr:colOff>563404</xdr:colOff>
      <xdr:row>7</xdr:row>
      <xdr:rowOff>32861</xdr:rowOff>
    </xdr:from>
    <xdr:to>
      <xdr:col>15</xdr:col>
      <xdr:colOff>601504</xdr:colOff>
      <xdr:row>15</xdr:row>
      <xdr:rowOff>2381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96BB3BCD-A62E-E73E-99A6-65D13DADD343}"/>
            </a:ext>
          </a:extLst>
        </xdr:cNvPr>
        <xdr:cNvGrpSpPr/>
      </xdr:nvGrpSpPr>
      <xdr:grpSpPr>
        <a:xfrm>
          <a:off x="8945404" y="1366361"/>
          <a:ext cx="3086100" cy="1493520"/>
          <a:chOff x="7216140" y="1112520"/>
          <a:chExt cx="3208020" cy="1432560"/>
        </a:xfrm>
      </xdr:grpSpPr>
      <xdr:sp macro="" textlink="Analisis!F11">
        <xdr:nvSpPr>
          <xdr:cNvPr id="10" name="Rectángulo: esquinas redondeadas 9">
            <a:extLst>
              <a:ext uri="{FF2B5EF4-FFF2-40B4-BE49-F238E27FC236}">
                <a16:creationId xmlns:a16="http://schemas.microsoft.com/office/drawing/2014/main" id="{8BE2AB55-10B7-409C-9205-225289C0C896}"/>
              </a:ext>
            </a:extLst>
          </xdr:cNvPr>
          <xdr:cNvSpPr/>
        </xdr:nvSpPr>
        <xdr:spPr>
          <a:xfrm>
            <a:off x="7216140" y="1112520"/>
            <a:ext cx="3208020" cy="1432560"/>
          </a:xfrm>
          <a:prstGeom prst="roundRect">
            <a:avLst/>
          </a:prstGeom>
          <a:solidFill>
            <a:srgbClr val="4ECDC4"/>
          </a:solidFill>
          <a:ln>
            <a:noFill/>
          </a:ln>
          <a:effectLst>
            <a:outerShdw blurRad="1016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405B595-9970-4B8C-90B2-C39C28D4AE46}" type="TxLink">
              <a:rPr lang="en-US" sz="28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 $ 7.112,60 </a:t>
            </a:fld>
            <a:endParaRPr lang="es-AR" sz="6000">
              <a:solidFill>
                <a:schemeClr val="bg1"/>
              </a:solidFill>
            </a:endParaRPr>
          </a:p>
        </xdr:txBody>
      </xdr:sp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31F2E8E3-D64F-430D-810F-50DADA96F2E3}"/>
              </a:ext>
            </a:extLst>
          </xdr:cNvPr>
          <xdr:cNvSpPr txBox="1"/>
        </xdr:nvSpPr>
        <xdr:spPr>
          <a:xfrm>
            <a:off x="7825740" y="1234440"/>
            <a:ext cx="217170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AR" sz="1100">
                <a:latin typeface="Segoe UI Black" panose="020B0A02040204020203" pitchFamily="34" charset="0"/>
                <a:ea typeface="Segoe UI Black" panose="020B0A02040204020203" pitchFamily="34" charset="0"/>
              </a:rPr>
              <a:t>💵 </a:t>
            </a:r>
            <a:r>
              <a:rPr lang="es-AR" sz="1600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Avg Order Value</a:t>
            </a:r>
          </a:p>
        </xdr:txBody>
      </xdr:sp>
    </xdr:grpSp>
    <xdr:clientData/>
  </xdr:twoCellAnchor>
  <xdr:twoCellAnchor>
    <xdr:from>
      <xdr:col>15</xdr:col>
      <xdr:colOff>677704</xdr:colOff>
      <xdr:row>7</xdr:row>
      <xdr:rowOff>32861</xdr:rowOff>
    </xdr:from>
    <xdr:to>
      <xdr:col>19</xdr:col>
      <xdr:colOff>715804</xdr:colOff>
      <xdr:row>15</xdr:row>
      <xdr:rowOff>2381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BA479BC6-1BD3-4697-0247-101A266E4B20}"/>
            </a:ext>
          </a:extLst>
        </xdr:cNvPr>
        <xdr:cNvGrpSpPr/>
      </xdr:nvGrpSpPr>
      <xdr:grpSpPr>
        <a:xfrm>
          <a:off x="12107704" y="1366361"/>
          <a:ext cx="3086100" cy="1493520"/>
          <a:chOff x="10500360" y="1112520"/>
          <a:chExt cx="3208020" cy="1432560"/>
        </a:xfrm>
      </xdr:grpSpPr>
      <xdr:sp macro="" textlink="Analisis!G16">
        <xdr:nvSpPr>
          <xdr:cNvPr id="11" name="Rectángulo: esquinas redondeadas 10">
            <a:extLst>
              <a:ext uri="{FF2B5EF4-FFF2-40B4-BE49-F238E27FC236}">
                <a16:creationId xmlns:a16="http://schemas.microsoft.com/office/drawing/2014/main" id="{96FD2E21-97B1-4803-850E-40D7B1D723FA}"/>
              </a:ext>
            </a:extLst>
          </xdr:cNvPr>
          <xdr:cNvSpPr/>
        </xdr:nvSpPr>
        <xdr:spPr>
          <a:xfrm>
            <a:off x="10500360" y="1112520"/>
            <a:ext cx="3208020" cy="1432560"/>
          </a:xfrm>
          <a:prstGeom prst="roundRect">
            <a:avLst/>
          </a:prstGeom>
          <a:solidFill>
            <a:srgbClr val="4ECDC4"/>
          </a:solidFill>
          <a:ln>
            <a:noFill/>
          </a:ln>
          <a:effectLst>
            <a:outerShdw blurRad="1016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4858DC5-D107-498B-8B0C-54ED046C8D86}" type="TxLink">
              <a:rPr lang="en-US" sz="28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47,3%</a:t>
            </a:fld>
            <a:endParaRPr lang="es-AR" sz="6000">
              <a:solidFill>
                <a:schemeClr val="bg1"/>
              </a:solidFill>
            </a:endParaRPr>
          </a:p>
        </xdr:txBody>
      </xdr:sp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73CED61A-78EA-478A-ABFD-50F4C218DD3C}"/>
              </a:ext>
            </a:extLst>
          </xdr:cNvPr>
          <xdr:cNvSpPr txBox="1"/>
        </xdr:nvSpPr>
        <xdr:spPr>
          <a:xfrm>
            <a:off x="11224260" y="1242060"/>
            <a:ext cx="1900934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AR" sz="1100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📈 </a:t>
            </a:r>
            <a:r>
              <a:rPr lang="es-AR" sz="1600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Profit Margin</a:t>
            </a:r>
          </a:p>
        </xdr:txBody>
      </xdr:sp>
    </xdr:grpSp>
    <xdr:clientData/>
  </xdr:twoCellAnchor>
  <xdr:twoCellAnchor>
    <xdr:from>
      <xdr:col>3</xdr:col>
      <xdr:colOff>682466</xdr:colOff>
      <xdr:row>16</xdr:row>
      <xdr:rowOff>35242</xdr:rowOff>
    </xdr:from>
    <xdr:to>
      <xdr:col>13</xdr:col>
      <xdr:colOff>583406</xdr:colOff>
      <xdr:row>32</xdr:row>
      <xdr:rowOff>80962</xdr:rowOff>
    </xdr:to>
    <xdr:grpSp>
      <xdr:nvGrpSpPr>
        <xdr:cNvPr id="28" name="Grupo 27">
          <a:extLst>
            <a:ext uri="{FF2B5EF4-FFF2-40B4-BE49-F238E27FC236}">
              <a16:creationId xmlns:a16="http://schemas.microsoft.com/office/drawing/2014/main" id="{0B8CC9C0-EDA6-99CD-205C-E70B2F151AD7}"/>
            </a:ext>
          </a:extLst>
        </xdr:cNvPr>
        <xdr:cNvGrpSpPr/>
      </xdr:nvGrpSpPr>
      <xdr:grpSpPr>
        <a:xfrm>
          <a:off x="2968466" y="3083242"/>
          <a:ext cx="7520940" cy="3093720"/>
          <a:chOff x="708660" y="2484120"/>
          <a:chExt cx="7825740" cy="2971800"/>
        </a:xfrm>
      </xdr:grpSpPr>
      <xdr:sp macro="" textlink="">
        <xdr:nvSpPr>
          <xdr:cNvPr id="22" name="Rectángulo: esquinas redondeadas 21">
            <a:extLst>
              <a:ext uri="{FF2B5EF4-FFF2-40B4-BE49-F238E27FC236}">
                <a16:creationId xmlns:a16="http://schemas.microsoft.com/office/drawing/2014/main" id="{E92F2B98-0B1F-F8C9-5082-D7CF64D29288}"/>
              </a:ext>
            </a:extLst>
          </xdr:cNvPr>
          <xdr:cNvSpPr/>
        </xdr:nvSpPr>
        <xdr:spPr>
          <a:xfrm>
            <a:off x="708660" y="2484120"/>
            <a:ext cx="7825740" cy="2971800"/>
          </a:xfrm>
          <a:prstGeom prst="roundRect">
            <a:avLst/>
          </a:prstGeom>
          <a:noFill/>
          <a:ln>
            <a:noFill/>
          </a:ln>
          <a:effectLst>
            <a:outerShdw blurRad="101600" dist="38100" dir="2700000" algn="tl" rotWithShape="0">
              <a:prstClr val="black">
                <a:alpha val="40000"/>
              </a:prstClr>
            </a:outerShdw>
            <a:softEdge rad="2540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graphicFrame macro="">
        <xdr:nvGraphicFramePr>
          <xdr:cNvPr id="19" name="Gráfico 18">
            <a:extLst>
              <a:ext uri="{FF2B5EF4-FFF2-40B4-BE49-F238E27FC236}">
                <a16:creationId xmlns:a16="http://schemas.microsoft.com/office/drawing/2014/main" id="{631CF0BB-B3C0-4713-BD35-A9C89D652894}"/>
              </a:ext>
            </a:extLst>
          </xdr:cNvPr>
          <xdr:cNvGraphicFramePr>
            <a:graphicFrameLocks/>
          </xdr:cNvGraphicFramePr>
        </xdr:nvGraphicFramePr>
        <xdr:xfrm>
          <a:off x="754380" y="2545080"/>
          <a:ext cx="7772400" cy="27203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13</xdr:col>
      <xdr:colOff>659606</xdr:colOff>
      <xdr:row>16</xdr:row>
      <xdr:rowOff>42862</xdr:rowOff>
    </xdr:from>
    <xdr:to>
      <xdr:col>19</xdr:col>
      <xdr:colOff>591026</xdr:colOff>
      <xdr:row>31</xdr:row>
      <xdr:rowOff>134302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881AC8C0-E792-97A3-734C-8490941EF046}"/>
            </a:ext>
          </a:extLst>
        </xdr:cNvPr>
        <xdr:cNvGrpSpPr/>
      </xdr:nvGrpSpPr>
      <xdr:grpSpPr>
        <a:xfrm>
          <a:off x="10565606" y="3090862"/>
          <a:ext cx="4503420" cy="2948940"/>
          <a:chOff x="9639300" y="3017520"/>
          <a:chExt cx="4686300" cy="2827020"/>
        </a:xfrm>
      </xdr:grpSpPr>
      <xdr:sp macro="" textlink="">
        <xdr:nvSpPr>
          <xdr:cNvPr id="26" name="Rectángulo: esquinas redondeadas 25">
            <a:extLst>
              <a:ext uri="{FF2B5EF4-FFF2-40B4-BE49-F238E27FC236}">
                <a16:creationId xmlns:a16="http://schemas.microsoft.com/office/drawing/2014/main" id="{7AD96731-B769-22FE-CAA3-8162894D5237}"/>
              </a:ext>
            </a:extLst>
          </xdr:cNvPr>
          <xdr:cNvSpPr/>
        </xdr:nvSpPr>
        <xdr:spPr>
          <a:xfrm>
            <a:off x="9639300" y="3017520"/>
            <a:ext cx="4686300" cy="282702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graphicFrame macro="">
        <xdr:nvGraphicFramePr>
          <xdr:cNvPr id="25" name="Gráfico 24">
            <a:extLst>
              <a:ext uri="{FF2B5EF4-FFF2-40B4-BE49-F238E27FC236}">
                <a16:creationId xmlns:a16="http://schemas.microsoft.com/office/drawing/2014/main" id="{CC8F1279-7917-4E76-84A3-A945C70C30C6}"/>
              </a:ext>
            </a:extLst>
          </xdr:cNvPr>
          <xdr:cNvGraphicFramePr>
            <a:graphicFrameLocks/>
          </xdr:cNvGraphicFramePr>
        </xdr:nvGraphicFramePr>
        <xdr:xfrm>
          <a:off x="9700260" y="307086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13</xdr:col>
      <xdr:colOff>726281</xdr:colOff>
      <xdr:row>32</xdr:row>
      <xdr:rowOff>23812</xdr:rowOff>
    </xdr:from>
    <xdr:to>
      <xdr:col>19</xdr:col>
      <xdr:colOff>554831</xdr:colOff>
      <xdr:row>49</xdr:row>
      <xdr:rowOff>14287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F1D61A33-C5AC-461F-BAC8-20C2AD854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32</xdr:row>
      <xdr:rowOff>47624</xdr:rowOff>
    </xdr:from>
    <xdr:to>
      <xdr:col>10</xdr:col>
      <xdr:colOff>693225</xdr:colOff>
      <xdr:row>48</xdr:row>
      <xdr:rowOff>93224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745AB766-D18E-A1B4-7276-BFFF4AF44633}"/>
            </a:ext>
          </a:extLst>
        </xdr:cNvPr>
        <xdr:cNvSpPr/>
      </xdr:nvSpPr>
      <xdr:spPr>
        <a:xfrm>
          <a:off x="790575" y="5476874"/>
          <a:ext cx="7808400" cy="29412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745330</xdr:colOff>
      <xdr:row>32</xdr:row>
      <xdr:rowOff>42861</xdr:rowOff>
    </xdr:from>
    <xdr:to>
      <xdr:col>13</xdr:col>
      <xdr:colOff>592931</xdr:colOff>
      <xdr:row>49</xdr:row>
      <xdr:rowOff>23811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4BC4F7D2-47ED-4917-A4E8-8DC3995C2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761999</xdr:colOff>
      <xdr:row>50</xdr:row>
      <xdr:rowOff>11905</xdr:rowOff>
    </xdr:from>
    <xdr:to>
      <xdr:col>10</xdr:col>
      <xdr:colOff>321468</xdr:colOff>
      <xdr:row>64</xdr:row>
      <xdr:rowOff>107156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B02F594A-FCE8-43D2-9D99-CF340AF5CFD1}"/>
            </a:ext>
          </a:extLst>
        </xdr:cNvPr>
        <xdr:cNvSpPr/>
      </xdr:nvSpPr>
      <xdr:spPr>
        <a:xfrm>
          <a:off x="3047999" y="9155905"/>
          <a:ext cx="4893469" cy="2762251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0</xdr:colOff>
      <xdr:row>26</xdr:row>
      <xdr:rowOff>166687</xdr:rowOff>
    </xdr:from>
    <xdr:to>
      <xdr:col>3</xdr:col>
      <xdr:colOff>642937</xdr:colOff>
      <xdr:row>41</xdr:row>
      <xdr:rowOff>47624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57EB44F3-303D-4F04-A909-C7BA3025E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166686</xdr:colOff>
      <xdr:row>0</xdr:row>
      <xdr:rowOff>59530</xdr:rowOff>
    </xdr:from>
    <xdr:to>
      <xdr:col>7</xdr:col>
      <xdr:colOff>714376</xdr:colOff>
      <xdr:row>6</xdr:row>
      <xdr:rowOff>88105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2" name="Date">
              <a:extLst>
                <a:ext uri="{FF2B5EF4-FFF2-40B4-BE49-F238E27FC236}">
                  <a16:creationId xmlns:a16="http://schemas.microsoft.com/office/drawing/2014/main" id="{AB58EB3B-0C0F-40A6-AEB0-0C64DD4F7E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686" y="59530"/>
              <a:ext cx="588169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83342</xdr:colOff>
      <xdr:row>7</xdr:row>
      <xdr:rowOff>71438</xdr:rowOff>
    </xdr:from>
    <xdr:to>
      <xdr:col>3</xdr:col>
      <xdr:colOff>345281</xdr:colOff>
      <xdr:row>15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3" name="Category">
              <a:extLst>
                <a:ext uri="{FF2B5EF4-FFF2-40B4-BE49-F238E27FC236}">
                  <a16:creationId xmlns:a16="http://schemas.microsoft.com/office/drawing/2014/main" id="{22F235DC-9F18-461D-9CDF-F50F4943E7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42" y="1404938"/>
              <a:ext cx="2547939" cy="14525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452437</xdr:colOff>
      <xdr:row>16</xdr:row>
      <xdr:rowOff>119062</xdr:rowOff>
    </xdr:from>
    <xdr:to>
      <xdr:col>2</xdr:col>
      <xdr:colOff>757237</xdr:colOff>
      <xdr:row>25</xdr:row>
      <xdr:rowOff>71437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4" name="Channel">
              <a:extLst>
                <a:ext uri="{FF2B5EF4-FFF2-40B4-BE49-F238E27FC236}">
                  <a16:creationId xmlns:a16="http://schemas.microsoft.com/office/drawing/2014/main" id="{4DE4DEF7-F7FD-4986-BEF9-84B12AB7D7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2437" y="3167062"/>
              <a:ext cx="1828800" cy="1666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19</xdr:row>
      <xdr:rowOff>106680</xdr:rowOff>
    </xdr:from>
    <xdr:to>
      <xdr:col>7</xdr:col>
      <xdr:colOff>320040</xdr:colOff>
      <xdr:row>34</xdr:row>
      <xdr:rowOff>129540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90FD76F1-BF39-0F95-7AA2-B48B18D96AE7}"/>
            </a:ext>
          </a:extLst>
        </xdr:cNvPr>
        <xdr:cNvSpPr/>
      </xdr:nvSpPr>
      <xdr:spPr>
        <a:xfrm>
          <a:off x="4328160" y="3581400"/>
          <a:ext cx="4594860" cy="27660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Samuel Mierez Suarez" refreshedDate="46085.114233796296" createdVersion="8" refreshedVersion="8" minRefreshableVersion="3" recordCount="300" xr:uid="{EE1AFDF8-9BAB-43A2-ACDC-13661E26CB4F}">
  <cacheSource type="worksheet">
    <worksheetSource ref="A1:M301" sheet="Data"/>
  </cacheSource>
  <cacheFields count="15">
    <cacheField name="Order_ID" numFmtId="0">
      <sharedItems/>
    </cacheField>
    <cacheField name="Date" numFmtId="14">
      <sharedItems containsSemiMixedTypes="0" containsNonDate="0" containsDate="1" containsString="0" minDate="2024-01-01T00:00:00" maxDate="2024-12-29T00:00:00" count="202">
        <d v="2024-01-21T00:00:00"/>
        <d v="2024-01-04T00:00:00"/>
        <d v="2024-01-01T00:00:00"/>
        <d v="2024-01-24T00:00:00"/>
        <d v="2024-01-09T00:00:00"/>
        <d v="2024-01-08T00:00:00"/>
        <d v="2024-01-05T00:00:00"/>
        <d v="2024-01-22T00:00:00"/>
        <d v="2024-01-18T00:00:00"/>
        <d v="2024-01-03T00:00:00"/>
        <d v="2024-01-19T00:00:00"/>
        <d v="2024-01-14T00:00:00"/>
        <d v="2024-01-02T00:00:00"/>
        <d v="2024-01-07T00:00:00"/>
        <d v="2024-01-17T00:00:00"/>
        <d v="2024-01-20T00:00:00"/>
        <d v="2024-02-07T00:00:00"/>
        <d v="2024-02-23T00:00:00"/>
        <d v="2024-02-21T00:00:00"/>
        <d v="2024-02-18T00:00:00"/>
        <d v="2024-02-14T00:00:00"/>
        <d v="2024-02-08T00:00:00"/>
        <d v="2024-02-15T00:00:00"/>
        <d v="2024-02-19T00:00:00"/>
        <d v="2024-02-09T00:00:00"/>
        <d v="2024-02-26T00:00:00"/>
        <d v="2024-02-28T00:00:00"/>
        <d v="2024-02-01T00:00:00"/>
        <d v="2024-02-25T00:00:00"/>
        <d v="2024-02-06T00:00:00"/>
        <d v="2024-02-11T00:00:00"/>
        <d v="2024-02-05T00:00:00"/>
        <d v="2024-02-04T00:00:00"/>
        <d v="2024-03-03T00:00:00"/>
        <d v="2024-03-13T00:00:00"/>
        <d v="2024-03-04T00:00:00"/>
        <d v="2024-03-12T00:00:00"/>
        <d v="2024-03-28T00:00:00"/>
        <d v="2024-03-20T00:00:00"/>
        <d v="2024-03-09T00:00:00"/>
        <d v="2024-03-26T00:00:00"/>
        <d v="2024-03-02T00:00:00"/>
        <d v="2024-03-24T00:00:00"/>
        <d v="2024-03-15T00:00:00"/>
        <d v="2024-03-18T00:00:00"/>
        <d v="2024-03-10T00:00:00"/>
        <d v="2024-03-27T00:00:00"/>
        <d v="2024-03-21T00:00:00"/>
        <d v="2024-03-19T00:00:00"/>
        <d v="2024-03-07T00:00:00"/>
        <d v="2024-04-23T00:00:00"/>
        <d v="2024-04-03T00:00:00"/>
        <d v="2024-04-02T00:00:00"/>
        <d v="2024-04-22T00:00:00"/>
        <d v="2024-04-08T00:00:00"/>
        <d v="2024-04-25T00:00:00"/>
        <d v="2024-04-10T00:00:00"/>
        <d v="2024-04-28T00:00:00"/>
        <d v="2024-04-04T00:00:00"/>
        <d v="2024-04-13T00:00:00"/>
        <d v="2024-04-09T00:00:00"/>
        <d v="2024-04-15T00:00:00"/>
        <d v="2024-04-21T00:00:00"/>
        <d v="2024-04-27T00:00:00"/>
        <d v="2024-04-12T00:00:00"/>
        <d v="2024-04-06T00:00:00"/>
        <d v="2024-04-07T00:00:00"/>
        <d v="2024-05-22T00:00:00"/>
        <d v="2024-05-21T00:00:00"/>
        <d v="2024-05-03T00:00:00"/>
        <d v="2024-05-20T00:00:00"/>
        <d v="2024-05-06T00:00:00"/>
        <d v="2024-05-18T00:00:00"/>
        <d v="2024-05-24T00:00:00"/>
        <d v="2024-05-08T00:00:00"/>
        <d v="2024-05-15T00:00:00"/>
        <d v="2024-05-13T00:00:00"/>
        <d v="2024-05-09T00:00:00"/>
        <d v="2024-05-23T00:00:00"/>
        <d v="2024-05-11T00:00:00"/>
        <d v="2024-05-27T00:00:00"/>
        <d v="2024-05-25T00:00:00"/>
        <d v="2024-05-02T00:00:00"/>
        <d v="2024-06-02T00:00:00"/>
        <d v="2024-06-26T00:00:00"/>
        <d v="2024-06-11T00:00:00"/>
        <d v="2024-06-13T00:00:00"/>
        <d v="2024-06-09T00:00:00"/>
        <d v="2024-06-03T00:00:00"/>
        <d v="2024-06-07T00:00:00"/>
        <d v="2024-06-19T00:00:00"/>
        <d v="2024-06-23T00:00:00"/>
        <d v="2024-06-21T00:00:00"/>
        <d v="2024-06-16T00:00:00"/>
        <d v="2024-06-15T00:00:00"/>
        <d v="2024-06-05T00:00:00"/>
        <d v="2024-06-08T00:00:00"/>
        <d v="2024-06-24T00:00:00"/>
        <d v="2024-06-18T00:00:00"/>
        <d v="2024-07-19T00:00:00"/>
        <d v="2024-07-14T00:00:00"/>
        <d v="2024-07-13T00:00:00"/>
        <d v="2024-07-12T00:00:00"/>
        <d v="2024-07-08T00:00:00"/>
        <d v="2024-07-05T00:00:00"/>
        <d v="2024-07-17T00:00:00"/>
        <d v="2024-07-16T00:00:00"/>
        <d v="2024-07-03T00:00:00"/>
        <d v="2024-07-25T00:00:00"/>
        <d v="2024-07-02T00:00:00"/>
        <d v="2024-07-28T00:00:00"/>
        <d v="2024-07-04T00:00:00"/>
        <d v="2024-07-21T00:00:00"/>
        <d v="2024-07-06T00:00:00"/>
        <d v="2024-07-26T00:00:00"/>
        <d v="2024-07-22T00:00:00"/>
        <d v="2024-07-20T00:00:00"/>
        <d v="2024-08-15T00:00:00"/>
        <d v="2024-08-17T00:00:00"/>
        <d v="2024-08-09T00:00:00"/>
        <d v="2024-08-18T00:00:00"/>
        <d v="2024-08-28T00:00:00"/>
        <d v="2024-08-01T00:00:00"/>
        <d v="2024-08-22T00:00:00"/>
        <d v="2024-08-24T00:00:00"/>
        <d v="2024-08-04T00:00:00"/>
        <d v="2024-08-25T00:00:00"/>
        <d v="2024-08-21T00:00:00"/>
        <d v="2024-08-11T00:00:00"/>
        <d v="2024-08-10T00:00:00"/>
        <d v="2024-08-14T00:00:00"/>
        <d v="2024-08-06T00:00:00"/>
        <d v="2024-09-17T00:00:00"/>
        <d v="2024-09-25T00:00:00"/>
        <d v="2024-09-06T00:00:00"/>
        <d v="2024-09-04T00:00:00"/>
        <d v="2024-09-28T00:00:00"/>
        <d v="2024-09-21T00:00:00"/>
        <d v="2024-09-10T00:00:00"/>
        <d v="2024-09-27T00:00:00"/>
        <d v="2024-09-20T00:00:00"/>
        <d v="2024-09-07T00:00:00"/>
        <d v="2024-09-05T00:00:00"/>
        <d v="2024-09-12T00:00:00"/>
        <d v="2024-09-18T00:00:00"/>
        <d v="2024-09-01T00:00:00"/>
        <d v="2024-09-11T00:00:00"/>
        <d v="2024-09-16T00:00:00"/>
        <d v="2024-10-04T00:00:00"/>
        <d v="2024-10-12T00:00:00"/>
        <d v="2024-10-27T00:00:00"/>
        <d v="2024-10-26T00:00:00"/>
        <d v="2024-10-10T00:00:00"/>
        <d v="2024-10-08T00:00:00"/>
        <d v="2024-10-02T00:00:00"/>
        <d v="2024-10-19T00:00:00"/>
        <d v="2024-10-03T00:00:00"/>
        <d v="2024-10-24T00:00:00"/>
        <d v="2024-10-16T00:00:00"/>
        <d v="2024-10-25T00:00:00"/>
        <d v="2024-10-18T00:00:00"/>
        <d v="2024-10-05T00:00:00"/>
        <d v="2024-10-22T00:00:00"/>
        <d v="2024-10-06T00:00:00"/>
        <d v="2024-10-09T00:00:00"/>
        <d v="2024-11-17T00:00:00"/>
        <d v="2024-11-28T00:00:00"/>
        <d v="2024-11-20T00:00:00"/>
        <d v="2024-11-14T00:00:00"/>
        <d v="2024-11-07T00:00:00"/>
        <d v="2024-11-18T00:00:00"/>
        <d v="2024-11-25T00:00:00"/>
        <d v="2024-11-24T00:00:00"/>
        <d v="2024-11-23T00:00:00"/>
        <d v="2024-11-10T00:00:00"/>
        <d v="2024-11-13T00:00:00"/>
        <d v="2024-11-22T00:00:00"/>
        <d v="2024-11-21T00:00:00"/>
        <d v="2024-11-12T00:00:00"/>
        <d v="2024-11-15T00:00:00"/>
        <d v="2024-11-04T00:00:00"/>
        <d v="2024-11-08T00:00:00"/>
        <d v="2024-11-03T00:00:00"/>
        <d v="2024-11-11T00:00:00"/>
        <d v="2024-11-01T00:00:00"/>
        <d v="2024-12-19T00:00:00"/>
        <d v="2024-12-18T00:00:00"/>
        <d v="2024-12-08T00:00:00"/>
        <d v="2024-12-01T00:00:00"/>
        <d v="2024-12-03T00:00:00"/>
        <d v="2024-12-23T00:00:00"/>
        <d v="2024-12-21T00:00:00"/>
        <d v="2024-12-02T00:00:00"/>
        <d v="2024-12-28T00:00:00"/>
        <d v="2024-12-11T00:00:00"/>
        <d v="2024-12-17T00:00:00"/>
        <d v="2024-12-09T00:00:00"/>
        <d v="2024-12-22T00:00:00"/>
        <d v="2024-12-16T00:00:00"/>
        <d v="2024-12-07T00:00:00"/>
        <d v="2024-12-05T00:00:00"/>
        <d v="2024-12-24T00:00:00"/>
      </sharedItems>
      <fieldGroup par="14"/>
    </cacheField>
    <cacheField name="Category" numFmtId="0">
      <sharedItems count="8">
        <s v="Food"/>
        <s v="Sports"/>
        <s v="Clothing"/>
        <s v="Home &amp; Garden"/>
        <s v="Beauty"/>
        <s v="Electronics"/>
        <s v="Books"/>
        <s v="Toys"/>
      </sharedItems>
    </cacheField>
    <cacheField name="Product" numFmtId="0">
      <sharedItems/>
    </cacheField>
    <cacheField name="Region" numFmtId="0">
      <sharedItems count="5">
        <s v="West"/>
        <s v="East"/>
        <s v="North"/>
        <s v="South"/>
        <s v="Central"/>
      </sharedItems>
    </cacheField>
    <cacheField name="Channel" numFmtId="0">
      <sharedItems count="5">
        <s v="Marketplace"/>
        <s v="Website"/>
        <s v="Social Media"/>
        <s v="Mobile App"/>
        <s v="Email"/>
      </sharedItems>
    </cacheField>
    <cacheField name="Units" numFmtId="0">
      <sharedItems containsSemiMixedTypes="0" containsString="0" containsNumber="1" containsInteger="1" minValue="1" maxValue="50" count="50">
        <n v="31"/>
        <n v="44"/>
        <n v="29"/>
        <n v="42"/>
        <n v="26"/>
        <n v="28"/>
        <n v="38"/>
        <n v="33"/>
        <n v="39"/>
        <n v="43"/>
        <n v="30"/>
        <n v="5"/>
        <n v="20"/>
        <n v="19"/>
        <n v="41"/>
        <n v="46"/>
        <n v="36"/>
        <n v="23"/>
        <n v="12"/>
        <n v="11"/>
        <n v="34"/>
        <n v="21"/>
        <n v="45"/>
        <n v="49"/>
        <n v="50"/>
        <n v="40"/>
        <n v="17"/>
        <n v="27"/>
        <n v="15"/>
        <n v="35"/>
        <n v="10"/>
        <n v="37"/>
        <n v="24"/>
        <n v="18"/>
        <n v="1"/>
        <n v="14"/>
        <n v="4"/>
        <n v="3"/>
        <n v="6"/>
        <n v="13"/>
        <n v="25"/>
        <n v="22"/>
        <n v="48"/>
        <n v="9"/>
        <n v="2"/>
        <n v="16"/>
        <n v="47"/>
        <n v="8"/>
        <n v="7"/>
        <n v="32"/>
      </sharedItems>
    </cacheField>
    <cacheField name="Unit_Price" numFmtId="4">
      <sharedItems containsSemiMixedTypes="0" containsString="0" containsNumber="1" minValue="10.33" maxValue="499.65"/>
    </cacheField>
    <cacheField name="Revenue" numFmtId="4">
      <sharedItems containsSemiMixedTypes="0" containsString="0" containsNumber="1" minValue="69.56" maxValue="23328.41"/>
    </cacheField>
    <cacheField name="Cost" numFmtId="4">
      <sharedItems containsSemiMixedTypes="0" containsString="0" containsNumber="1" minValue="33.619999999999997" maxValue="12971.4"/>
    </cacheField>
    <cacheField name="Profit" numFmtId="4">
      <sharedItems containsSemiMixedTypes="0" containsString="0" containsNumber="1" minValue="35.94" maxValue="12193.53"/>
    </cacheField>
    <cacheField name="Status" numFmtId="0">
      <sharedItems count="3">
        <s v="Completed"/>
        <s v="Returned"/>
        <s v="Pending"/>
      </sharedItems>
    </cacheField>
    <cacheField name="Rating" numFmtId="0">
      <sharedItems containsSemiMixedTypes="0" containsString="0" containsNumber="1" minValue="3" maxValue="5"/>
    </cacheField>
    <cacheField name="Días (Date)" numFmtId="0" databaseField="0">
      <fieldGroup base="1">
        <rangePr groupBy="days" startDate="2024-01-01T00:00:00" endDate="2024-12-29T00:00:00"/>
        <groupItems count="368">
          <s v="&lt;1/1/2024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9/12/2024"/>
        </groupItems>
      </fieldGroup>
    </cacheField>
    <cacheField name="Meses (Date)" numFmtId="0" databaseField="0">
      <fieldGroup base="1">
        <rangePr groupBy="months" startDate="2024-01-01T00:00:00" endDate="2024-12-29T00:00:00"/>
        <groupItems count="14">
          <s v="&lt;1/1/20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9/12/2024"/>
        </groupItems>
      </fieldGroup>
    </cacheField>
  </cacheFields>
  <extLst>
    <ext xmlns:x14="http://schemas.microsoft.com/office/spreadsheetml/2009/9/main" uri="{725AE2AE-9491-48be-B2B4-4EB974FC3084}">
      <x14:pivotCacheDefinition pivotCacheId="14294897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ORD-1002"/>
    <x v="0"/>
    <x v="0"/>
    <s v="Protein Bars"/>
    <x v="0"/>
    <x v="0"/>
    <x v="0"/>
    <n v="405.67"/>
    <n v="12575.77"/>
    <n v="5628.95"/>
    <n v="6946.82"/>
    <x v="0"/>
    <n v="3.2"/>
  </r>
  <r>
    <s v="ORD-1003"/>
    <x v="1"/>
    <x v="0"/>
    <s v="Organic Coffee"/>
    <x v="1"/>
    <x v="1"/>
    <x v="1"/>
    <n v="330.19"/>
    <n v="14528.36"/>
    <n v="8158.33"/>
    <n v="6370.03"/>
    <x v="0"/>
    <n v="3.1"/>
  </r>
  <r>
    <s v="ORD-1004"/>
    <x v="2"/>
    <x v="1"/>
    <s v="Jump Rope"/>
    <x v="2"/>
    <x v="2"/>
    <x v="2"/>
    <n v="78.69"/>
    <n v="2282.0100000000002"/>
    <n v="1017.48"/>
    <n v="1264.53"/>
    <x v="0"/>
    <n v="3.9"/>
  </r>
  <r>
    <s v="ORD-1005"/>
    <x v="3"/>
    <x v="2"/>
    <s v="Summer Dress"/>
    <x v="3"/>
    <x v="3"/>
    <x v="3"/>
    <n v="499.65"/>
    <n v="20985.3"/>
    <n v="12780.19"/>
    <n v="8205.11"/>
    <x v="0"/>
    <n v="4.9000000000000004"/>
  </r>
  <r>
    <s v="ORD-1006"/>
    <x v="4"/>
    <x v="0"/>
    <s v="Protein Bars"/>
    <x v="0"/>
    <x v="0"/>
    <x v="4"/>
    <n v="452.2"/>
    <n v="11757.2"/>
    <n v="5186.8"/>
    <n v="6570.4"/>
    <x v="1"/>
    <n v="3"/>
  </r>
  <r>
    <s v="ORD-1007"/>
    <x v="5"/>
    <x v="0"/>
    <s v="Honey Jar"/>
    <x v="0"/>
    <x v="3"/>
    <x v="5"/>
    <n v="351.33"/>
    <n v="9837.24"/>
    <n v="5731.44"/>
    <n v="4105.8"/>
    <x v="0"/>
    <n v="4.5999999999999996"/>
  </r>
  <r>
    <s v="ORD-1008"/>
    <x v="5"/>
    <x v="1"/>
    <s v="Yoga Mat"/>
    <x v="2"/>
    <x v="4"/>
    <x v="6"/>
    <n v="370.51"/>
    <n v="14079.38"/>
    <n v="5846.31"/>
    <n v="8233.07"/>
    <x v="0"/>
    <n v="3.6"/>
  </r>
  <r>
    <s v="ORD-1009"/>
    <x v="6"/>
    <x v="3"/>
    <s v="Succulent Set"/>
    <x v="3"/>
    <x v="2"/>
    <x v="7"/>
    <n v="49.25"/>
    <n v="1625.25"/>
    <n v="725.6"/>
    <n v="899.65"/>
    <x v="0"/>
    <n v="4.2"/>
  </r>
  <r>
    <s v="ORD-1010"/>
    <x v="3"/>
    <x v="1"/>
    <s v="Jump Rope"/>
    <x v="4"/>
    <x v="4"/>
    <x v="8"/>
    <n v="29.47"/>
    <n v="1149.33"/>
    <n v="483.29"/>
    <n v="666.04"/>
    <x v="0"/>
    <n v="4.3"/>
  </r>
  <r>
    <s v="ORD-1011"/>
    <x v="1"/>
    <x v="4"/>
    <s v="Lip Gloss Set"/>
    <x v="1"/>
    <x v="2"/>
    <x v="9"/>
    <n v="360.93"/>
    <n v="15519.99"/>
    <n v="7134.1"/>
    <n v="8385.89"/>
    <x v="0"/>
    <n v="3.8"/>
  </r>
  <r>
    <s v="ORD-1012"/>
    <x v="7"/>
    <x v="2"/>
    <s v="Summer Dress"/>
    <x v="4"/>
    <x v="3"/>
    <x v="10"/>
    <n v="314.37"/>
    <n v="9431.1"/>
    <n v="5099.8500000000004"/>
    <n v="4331.25"/>
    <x v="0"/>
    <n v="3.2"/>
  </r>
  <r>
    <s v="ORD-1013"/>
    <x v="3"/>
    <x v="3"/>
    <s v="Throw Pillow"/>
    <x v="4"/>
    <x v="0"/>
    <x v="11"/>
    <n v="440.84"/>
    <n v="2204.1999999999998"/>
    <n v="1085.31"/>
    <n v="1118.8900000000001"/>
    <x v="0"/>
    <n v="3.3"/>
  </r>
  <r>
    <s v="ORD-1014"/>
    <x v="8"/>
    <x v="5"/>
    <s v="Webcam"/>
    <x v="1"/>
    <x v="1"/>
    <x v="12"/>
    <n v="466.56"/>
    <n v="9331.2000000000007"/>
    <n v="3974.13"/>
    <n v="5357.07"/>
    <x v="1"/>
    <n v="4.8"/>
  </r>
  <r>
    <s v="ORD-1015"/>
    <x v="9"/>
    <x v="3"/>
    <s v="Throw Pillow"/>
    <x v="1"/>
    <x v="4"/>
    <x v="13"/>
    <n v="306.37"/>
    <n v="5821.03"/>
    <n v="3372.72"/>
    <n v="2448.31"/>
    <x v="0"/>
    <n v="3.4"/>
  </r>
  <r>
    <s v="ORD-1016"/>
    <x v="10"/>
    <x v="5"/>
    <s v="Wireless Headphones"/>
    <x v="3"/>
    <x v="0"/>
    <x v="14"/>
    <n v="217.55"/>
    <n v="8919.5499999999993"/>
    <n v="4184.79"/>
    <n v="4734.76"/>
    <x v="0"/>
    <n v="3"/>
  </r>
  <r>
    <s v="ORD-1017"/>
    <x v="11"/>
    <x v="0"/>
    <s v="Granola Mix"/>
    <x v="3"/>
    <x v="4"/>
    <x v="15"/>
    <n v="219.57"/>
    <n v="10100.219999999999"/>
    <n v="4064.5"/>
    <n v="6035.72"/>
    <x v="0"/>
    <n v="3.2"/>
  </r>
  <r>
    <s v="ORD-1018"/>
    <x v="12"/>
    <x v="6"/>
    <s v="Art Journal"/>
    <x v="2"/>
    <x v="0"/>
    <x v="16"/>
    <n v="82.57"/>
    <n v="2972.52"/>
    <n v="1283.72"/>
    <n v="1688.8"/>
    <x v="0"/>
    <n v="3.6"/>
  </r>
  <r>
    <s v="ORD-1019"/>
    <x v="2"/>
    <x v="1"/>
    <s v="Yoga Mat"/>
    <x v="4"/>
    <x v="3"/>
    <x v="17"/>
    <n v="392.26"/>
    <n v="9021.98"/>
    <n v="5602.95"/>
    <n v="3419.03"/>
    <x v="1"/>
    <n v="3.8"/>
  </r>
  <r>
    <s v="ORD-1020"/>
    <x v="9"/>
    <x v="1"/>
    <s v="Resistance Bands"/>
    <x v="1"/>
    <x v="2"/>
    <x v="18"/>
    <n v="441.89"/>
    <n v="5302.68"/>
    <n v="2153.9299999999998"/>
    <n v="3148.75"/>
    <x v="0"/>
    <n v="4.5"/>
  </r>
  <r>
    <s v="ORD-1021"/>
    <x v="13"/>
    <x v="1"/>
    <s v="Water Bottle"/>
    <x v="0"/>
    <x v="3"/>
    <x v="19"/>
    <n v="395.81"/>
    <n v="4353.91"/>
    <n v="1859.22"/>
    <n v="2494.69"/>
    <x v="0"/>
    <n v="4.7"/>
  </r>
  <r>
    <s v="ORD-1022"/>
    <x v="5"/>
    <x v="0"/>
    <s v="Honey Jar"/>
    <x v="3"/>
    <x v="2"/>
    <x v="12"/>
    <n v="412.06"/>
    <n v="8241.2000000000007"/>
    <n v="5091.67"/>
    <n v="3149.53"/>
    <x v="0"/>
    <n v="3.4"/>
  </r>
  <r>
    <s v="ORD-1023"/>
    <x v="14"/>
    <x v="2"/>
    <s v="Running Shoes"/>
    <x v="4"/>
    <x v="0"/>
    <x v="17"/>
    <n v="324.33"/>
    <n v="7459.59"/>
    <n v="3729.2"/>
    <n v="3730.39"/>
    <x v="2"/>
    <n v="5"/>
  </r>
  <r>
    <s v="ORD-1024"/>
    <x v="15"/>
    <x v="2"/>
    <s v="Running Shoes"/>
    <x v="4"/>
    <x v="2"/>
    <x v="18"/>
    <n v="294.49"/>
    <n v="3533.88"/>
    <n v="2282.4899999999998"/>
    <n v="1251.3900000000001"/>
    <x v="0"/>
    <n v="3.1"/>
  </r>
  <r>
    <s v="ORD-1025"/>
    <x v="2"/>
    <x v="6"/>
    <s v="Children's Book"/>
    <x v="3"/>
    <x v="0"/>
    <x v="8"/>
    <n v="492.28"/>
    <n v="19198.919999999998"/>
    <n v="8234.64"/>
    <n v="10964.28"/>
    <x v="0"/>
    <n v="4.8"/>
  </r>
  <r>
    <s v="ORD-1026"/>
    <x v="8"/>
    <x v="7"/>
    <s v="Building Blocks"/>
    <x v="3"/>
    <x v="0"/>
    <x v="20"/>
    <n v="463.53"/>
    <n v="15760.02"/>
    <n v="8425.51"/>
    <n v="7334.51"/>
    <x v="0"/>
    <n v="4.4000000000000004"/>
  </r>
  <r>
    <s v="ORD-1027"/>
    <x v="16"/>
    <x v="6"/>
    <s v="Art Journal"/>
    <x v="4"/>
    <x v="0"/>
    <x v="21"/>
    <n v="335.06"/>
    <n v="7036.26"/>
    <n v="3033.73"/>
    <n v="4002.53"/>
    <x v="0"/>
    <n v="4.8"/>
  </r>
  <r>
    <s v="ORD-1028"/>
    <x v="17"/>
    <x v="6"/>
    <s v="Children's Book"/>
    <x v="0"/>
    <x v="3"/>
    <x v="22"/>
    <n v="154.87"/>
    <n v="6969.15"/>
    <n v="3009.43"/>
    <n v="3959.72"/>
    <x v="0"/>
    <n v="3.8"/>
  </r>
  <r>
    <s v="ORD-1029"/>
    <x v="18"/>
    <x v="4"/>
    <s v="Moisturizer"/>
    <x v="4"/>
    <x v="4"/>
    <x v="16"/>
    <n v="418.53"/>
    <n v="15067.08"/>
    <n v="7171.46"/>
    <n v="7895.62"/>
    <x v="0"/>
    <n v="3.4"/>
  </r>
  <r>
    <s v="ORD-1030"/>
    <x v="17"/>
    <x v="0"/>
    <s v="Herbal Tea"/>
    <x v="3"/>
    <x v="1"/>
    <x v="2"/>
    <n v="341.06"/>
    <n v="9890.74"/>
    <n v="5220.2700000000004"/>
    <n v="4670.47"/>
    <x v="0"/>
    <n v="4.5999999999999996"/>
  </r>
  <r>
    <s v="ORD-1031"/>
    <x v="19"/>
    <x v="6"/>
    <s v="Self-Help Guide"/>
    <x v="3"/>
    <x v="1"/>
    <x v="23"/>
    <n v="125.09"/>
    <n v="6129.41"/>
    <n v="2927.44"/>
    <n v="3201.97"/>
    <x v="0"/>
    <n v="4.5999999999999996"/>
  </r>
  <r>
    <s v="ORD-1032"/>
    <x v="20"/>
    <x v="0"/>
    <s v="Granola Mix"/>
    <x v="3"/>
    <x v="2"/>
    <x v="24"/>
    <n v="45.69"/>
    <n v="2284.5"/>
    <n v="1150.5"/>
    <n v="1134"/>
    <x v="0"/>
    <n v="4.3"/>
  </r>
  <r>
    <s v="ORD-1033"/>
    <x v="21"/>
    <x v="1"/>
    <s v="Resistance Bands"/>
    <x v="2"/>
    <x v="2"/>
    <x v="3"/>
    <n v="346.93"/>
    <n v="14571.06"/>
    <n v="9080.17"/>
    <n v="5490.89"/>
    <x v="0"/>
    <n v="4.7"/>
  </r>
  <r>
    <s v="ORD-1034"/>
    <x v="22"/>
    <x v="0"/>
    <s v="Organic Coffee"/>
    <x v="0"/>
    <x v="4"/>
    <x v="16"/>
    <n v="132.11000000000001"/>
    <n v="4755.96"/>
    <n v="2911.05"/>
    <n v="1844.91"/>
    <x v="2"/>
    <n v="3.9"/>
  </r>
  <r>
    <s v="ORD-1035"/>
    <x v="23"/>
    <x v="6"/>
    <s v="Children's Book"/>
    <x v="4"/>
    <x v="2"/>
    <x v="25"/>
    <n v="409.35"/>
    <n v="16374"/>
    <n v="10201.09"/>
    <n v="6172.91"/>
    <x v="1"/>
    <n v="3.9"/>
  </r>
  <r>
    <s v="ORD-1036"/>
    <x v="24"/>
    <x v="0"/>
    <s v="Herbal Tea"/>
    <x v="4"/>
    <x v="2"/>
    <x v="26"/>
    <n v="378.37"/>
    <n v="6432.29"/>
    <n v="3923.48"/>
    <n v="2508.81"/>
    <x v="0"/>
    <n v="3.6"/>
  </r>
  <r>
    <s v="ORD-1037"/>
    <x v="25"/>
    <x v="4"/>
    <s v="Moisturizer"/>
    <x v="4"/>
    <x v="1"/>
    <x v="11"/>
    <n v="359.64"/>
    <n v="1798.2"/>
    <n v="824.7"/>
    <n v="973.5"/>
    <x v="0"/>
    <n v="3.7"/>
  </r>
  <r>
    <s v="ORD-1038"/>
    <x v="26"/>
    <x v="1"/>
    <s v="Gym Gloves"/>
    <x v="1"/>
    <x v="4"/>
    <x v="22"/>
    <n v="84.87"/>
    <n v="3819.15"/>
    <n v="1731.94"/>
    <n v="2087.21"/>
    <x v="0"/>
    <n v="3.8"/>
  </r>
  <r>
    <s v="ORD-1039"/>
    <x v="27"/>
    <x v="5"/>
    <s v="Smart Watch"/>
    <x v="2"/>
    <x v="4"/>
    <x v="27"/>
    <n v="200.84"/>
    <n v="5422.68"/>
    <n v="3212.66"/>
    <n v="2210.02"/>
    <x v="0"/>
    <n v="4.9000000000000004"/>
  </r>
  <r>
    <s v="ORD-1040"/>
    <x v="28"/>
    <x v="5"/>
    <s v="Laptop Stand"/>
    <x v="0"/>
    <x v="4"/>
    <x v="12"/>
    <n v="379.2"/>
    <n v="7584"/>
    <n v="4651.74"/>
    <n v="2932.26"/>
    <x v="0"/>
    <n v="4.9000000000000004"/>
  </r>
  <r>
    <s v="ORD-1041"/>
    <x v="25"/>
    <x v="1"/>
    <s v="Gym Gloves"/>
    <x v="0"/>
    <x v="3"/>
    <x v="28"/>
    <n v="143.74"/>
    <n v="2156.1"/>
    <n v="1124.21"/>
    <n v="1031.8900000000001"/>
    <x v="0"/>
    <n v="3.8"/>
  </r>
  <r>
    <s v="ORD-1042"/>
    <x v="29"/>
    <x v="3"/>
    <s v="Desk Organizer"/>
    <x v="2"/>
    <x v="1"/>
    <x v="29"/>
    <n v="23.21"/>
    <n v="812.35"/>
    <n v="404.96"/>
    <n v="407.39"/>
    <x v="0"/>
    <n v="4.0999999999999996"/>
  </r>
  <r>
    <s v="ORD-1043"/>
    <x v="17"/>
    <x v="3"/>
    <s v="Wall Clock"/>
    <x v="1"/>
    <x v="0"/>
    <x v="18"/>
    <n v="34.64"/>
    <n v="415.68"/>
    <n v="205.67"/>
    <n v="210.01"/>
    <x v="0"/>
    <n v="3.4"/>
  </r>
  <r>
    <s v="ORD-1044"/>
    <x v="20"/>
    <x v="7"/>
    <s v="Remote Car"/>
    <x v="0"/>
    <x v="1"/>
    <x v="23"/>
    <n v="476.09"/>
    <n v="23328.41"/>
    <n v="11789.97"/>
    <n v="11538.44"/>
    <x v="0"/>
    <n v="4.7"/>
  </r>
  <r>
    <s v="ORD-1045"/>
    <x v="30"/>
    <x v="5"/>
    <s v="Laptop Stand"/>
    <x v="2"/>
    <x v="3"/>
    <x v="28"/>
    <n v="328.57"/>
    <n v="4928.55"/>
    <n v="2934.01"/>
    <n v="1994.54"/>
    <x v="0"/>
    <n v="4.3"/>
  </r>
  <r>
    <s v="ORD-1046"/>
    <x v="24"/>
    <x v="5"/>
    <s v="Webcam"/>
    <x v="3"/>
    <x v="2"/>
    <x v="30"/>
    <n v="126.89"/>
    <n v="1268.9000000000001"/>
    <n v="657.79"/>
    <n v="611.11"/>
    <x v="0"/>
    <n v="3.2"/>
  </r>
  <r>
    <s v="ORD-1047"/>
    <x v="31"/>
    <x v="6"/>
    <s v="Cookbook"/>
    <x v="3"/>
    <x v="0"/>
    <x v="8"/>
    <n v="307.55"/>
    <n v="11994.45"/>
    <n v="7040.52"/>
    <n v="4953.93"/>
    <x v="0"/>
    <n v="3.2"/>
  </r>
  <r>
    <s v="ORD-1048"/>
    <x v="16"/>
    <x v="5"/>
    <s v="Laptop Stand"/>
    <x v="3"/>
    <x v="1"/>
    <x v="31"/>
    <n v="341.9"/>
    <n v="12650.3"/>
    <n v="8090.41"/>
    <n v="4559.8900000000003"/>
    <x v="0"/>
    <n v="3.8"/>
  </r>
  <r>
    <s v="ORD-1049"/>
    <x v="28"/>
    <x v="1"/>
    <s v="Yoga Mat"/>
    <x v="2"/>
    <x v="4"/>
    <x v="22"/>
    <n v="388.52"/>
    <n v="17483.400000000001"/>
    <n v="10709.86"/>
    <n v="6773.54"/>
    <x v="0"/>
    <n v="4.2"/>
  </r>
  <r>
    <s v="ORD-1050"/>
    <x v="30"/>
    <x v="6"/>
    <s v="Art Journal"/>
    <x v="2"/>
    <x v="2"/>
    <x v="5"/>
    <n v="334.15"/>
    <n v="9356.2000000000007"/>
    <n v="3903.77"/>
    <n v="5452.43"/>
    <x v="0"/>
    <n v="4.3"/>
  </r>
  <r>
    <s v="ORD-1051"/>
    <x v="32"/>
    <x v="2"/>
    <s v="Casual T-Shirt"/>
    <x v="0"/>
    <x v="3"/>
    <x v="32"/>
    <n v="321.44"/>
    <n v="7714.56"/>
    <n v="4684.1000000000004"/>
    <n v="3030.46"/>
    <x v="0"/>
    <n v="4.4000000000000004"/>
  </r>
  <r>
    <s v="ORD-1052"/>
    <x v="33"/>
    <x v="4"/>
    <s v="Hair Mask"/>
    <x v="4"/>
    <x v="0"/>
    <x v="29"/>
    <n v="389.57"/>
    <n v="13634.95"/>
    <n v="7038.61"/>
    <n v="6596.34"/>
    <x v="0"/>
    <n v="4.7"/>
  </r>
  <r>
    <s v="ORD-1053"/>
    <x v="34"/>
    <x v="1"/>
    <s v="Yoga Mat"/>
    <x v="4"/>
    <x v="2"/>
    <x v="33"/>
    <n v="442"/>
    <n v="7956"/>
    <n v="3667.44"/>
    <n v="4288.5600000000004"/>
    <x v="0"/>
    <n v="3.9"/>
  </r>
  <r>
    <s v="ORD-1054"/>
    <x v="35"/>
    <x v="0"/>
    <s v="Honey Jar"/>
    <x v="1"/>
    <x v="4"/>
    <x v="18"/>
    <n v="248.9"/>
    <n v="2986.8"/>
    <n v="1459.67"/>
    <n v="1527.13"/>
    <x v="0"/>
    <n v="3.5"/>
  </r>
  <r>
    <s v="ORD-1055"/>
    <x v="36"/>
    <x v="4"/>
    <s v="Hair Mask"/>
    <x v="0"/>
    <x v="2"/>
    <x v="34"/>
    <n v="263.14999999999998"/>
    <n v="263.14999999999998"/>
    <n v="117.83"/>
    <n v="145.32"/>
    <x v="0"/>
    <n v="3.5"/>
  </r>
  <r>
    <s v="ORD-1056"/>
    <x v="37"/>
    <x v="1"/>
    <s v="Gym Gloves"/>
    <x v="1"/>
    <x v="3"/>
    <x v="3"/>
    <n v="358.8"/>
    <n v="15069.6"/>
    <n v="7716.29"/>
    <n v="7353.31"/>
    <x v="0"/>
    <n v="3"/>
  </r>
  <r>
    <s v="ORD-1057"/>
    <x v="36"/>
    <x v="1"/>
    <s v="Water Bottle"/>
    <x v="0"/>
    <x v="4"/>
    <x v="9"/>
    <n v="294.95999999999998"/>
    <n v="12683.28"/>
    <n v="6573.94"/>
    <n v="6109.34"/>
    <x v="0"/>
    <n v="4.0999999999999996"/>
  </r>
  <r>
    <s v="ORD-1058"/>
    <x v="38"/>
    <x v="0"/>
    <s v="Honey Jar"/>
    <x v="2"/>
    <x v="4"/>
    <x v="12"/>
    <n v="133.19"/>
    <n v="2663.8"/>
    <n v="1145.8699999999999"/>
    <n v="1517.93"/>
    <x v="2"/>
    <n v="3.4"/>
  </r>
  <r>
    <s v="ORD-1059"/>
    <x v="39"/>
    <x v="3"/>
    <s v="Scented Candle"/>
    <x v="4"/>
    <x v="4"/>
    <x v="35"/>
    <n v="371.92"/>
    <n v="5206.88"/>
    <n v="2442.6799999999998"/>
    <n v="2764.2"/>
    <x v="0"/>
    <n v="4.2"/>
  </r>
  <r>
    <s v="ORD-1060"/>
    <x v="40"/>
    <x v="2"/>
    <s v="Denim Jacket"/>
    <x v="4"/>
    <x v="3"/>
    <x v="13"/>
    <n v="121.47"/>
    <n v="2307.9299999999998"/>
    <n v="1026.71"/>
    <n v="1281.22"/>
    <x v="0"/>
    <n v="3"/>
  </r>
  <r>
    <s v="ORD-1061"/>
    <x v="41"/>
    <x v="5"/>
    <s v="Webcam"/>
    <x v="0"/>
    <x v="1"/>
    <x v="13"/>
    <n v="351.73"/>
    <n v="6682.87"/>
    <n v="2884.13"/>
    <n v="3798.74"/>
    <x v="0"/>
    <n v="4.7"/>
  </r>
  <r>
    <s v="ORD-1062"/>
    <x v="42"/>
    <x v="4"/>
    <s v="Moisturizer"/>
    <x v="0"/>
    <x v="1"/>
    <x v="0"/>
    <n v="225.83"/>
    <n v="7000.73"/>
    <n v="3122.96"/>
    <n v="3877.77"/>
    <x v="0"/>
    <n v="3.1"/>
  </r>
  <r>
    <s v="ORD-1063"/>
    <x v="43"/>
    <x v="7"/>
    <s v="Stuffed Animal"/>
    <x v="4"/>
    <x v="0"/>
    <x v="11"/>
    <n v="292.74"/>
    <n v="1463.7"/>
    <n v="836.67"/>
    <n v="627.03"/>
    <x v="0"/>
    <n v="3.3"/>
  </r>
  <r>
    <s v="ORD-1064"/>
    <x v="44"/>
    <x v="1"/>
    <s v="Yoga Mat"/>
    <x v="3"/>
    <x v="4"/>
    <x v="16"/>
    <n v="384.58"/>
    <n v="13844.88"/>
    <n v="7636.55"/>
    <n v="6208.33"/>
    <x v="0"/>
    <n v="4.5999999999999996"/>
  </r>
  <r>
    <s v="ORD-1065"/>
    <x v="35"/>
    <x v="0"/>
    <s v="Honey Jar"/>
    <x v="4"/>
    <x v="1"/>
    <x v="6"/>
    <n v="495.12"/>
    <n v="18814.560000000001"/>
    <n v="8962.2199999999993"/>
    <n v="9852.34"/>
    <x v="2"/>
    <n v="4.2"/>
  </r>
  <r>
    <s v="ORD-1066"/>
    <x v="34"/>
    <x v="1"/>
    <s v="Resistance Bands"/>
    <x v="2"/>
    <x v="3"/>
    <x v="26"/>
    <n v="333.61"/>
    <n v="5671.37"/>
    <n v="2491.23"/>
    <n v="3180.14"/>
    <x v="0"/>
    <n v="3.3"/>
  </r>
  <r>
    <s v="ORD-1067"/>
    <x v="33"/>
    <x v="0"/>
    <s v="Granola Mix"/>
    <x v="0"/>
    <x v="1"/>
    <x v="0"/>
    <n v="152.72"/>
    <n v="4734.32"/>
    <n v="2167.6999999999998"/>
    <n v="2566.62"/>
    <x v="0"/>
    <n v="4.4000000000000004"/>
  </r>
  <r>
    <s v="ORD-1068"/>
    <x v="44"/>
    <x v="4"/>
    <s v="Hair Mask"/>
    <x v="3"/>
    <x v="3"/>
    <x v="9"/>
    <n v="403.91"/>
    <n v="17368.13"/>
    <n v="7806.19"/>
    <n v="9561.94"/>
    <x v="1"/>
    <n v="3.2"/>
  </r>
  <r>
    <s v="ORD-1069"/>
    <x v="45"/>
    <x v="3"/>
    <s v="Succulent Set"/>
    <x v="4"/>
    <x v="0"/>
    <x v="36"/>
    <n v="91.3"/>
    <n v="365.2"/>
    <n v="174.16"/>
    <n v="191.04"/>
    <x v="0"/>
    <n v="4.5"/>
  </r>
  <r>
    <s v="ORD-1070"/>
    <x v="46"/>
    <x v="0"/>
    <s v="Honey Jar"/>
    <x v="0"/>
    <x v="1"/>
    <x v="22"/>
    <n v="207.23"/>
    <n v="9325.35"/>
    <n v="4364.84"/>
    <n v="4960.51"/>
    <x v="0"/>
    <n v="4.0999999999999996"/>
  </r>
  <r>
    <s v="ORD-1071"/>
    <x v="47"/>
    <x v="7"/>
    <s v="Remote Car"/>
    <x v="4"/>
    <x v="4"/>
    <x v="8"/>
    <n v="132.68"/>
    <n v="5174.5200000000004"/>
    <n v="2187.9499999999998"/>
    <n v="2986.57"/>
    <x v="2"/>
    <n v="4.9000000000000004"/>
  </r>
  <r>
    <s v="ORD-1072"/>
    <x v="38"/>
    <x v="4"/>
    <s v="Hair Mask"/>
    <x v="0"/>
    <x v="0"/>
    <x v="37"/>
    <n v="383.92"/>
    <n v="1151.76"/>
    <n v="511.15"/>
    <n v="640.61"/>
    <x v="0"/>
    <n v="4"/>
  </r>
  <r>
    <s v="ORD-1073"/>
    <x v="37"/>
    <x v="7"/>
    <s v="Stuffed Animal"/>
    <x v="2"/>
    <x v="3"/>
    <x v="38"/>
    <n v="240.31"/>
    <n v="1441.86"/>
    <n v="723.94"/>
    <n v="717.92"/>
    <x v="0"/>
    <n v="3.6"/>
  </r>
  <r>
    <s v="ORD-1074"/>
    <x v="36"/>
    <x v="0"/>
    <s v="Honey Jar"/>
    <x v="0"/>
    <x v="1"/>
    <x v="9"/>
    <n v="473.14"/>
    <n v="20345.02"/>
    <n v="12276.01"/>
    <n v="8069.01"/>
    <x v="0"/>
    <n v="4.0999999999999996"/>
  </r>
  <r>
    <s v="ORD-1075"/>
    <x v="48"/>
    <x v="6"/>
    <s v="Self-Help Guide"/>
    <x v="4"/>
    <x v="2"/>
    <x v="24"/>
    <n v="208.05"/>
    <n v="10402.5"/>
    <n v="5499.27"/>
    <n v="4903.2299999999996"/>
    <x v="0"/>
    <n v="5"/>
  </r>
  <r>
    <s v="ORD-1076"/>
    <x v="49"/>
    <x v="1"/>
    <s v="Jump Rope"/>
    <x v="2"/>
    <x v="3"/>
    <x v="32"/>
    <n v="315.08999999999997"/>
    <n v="7562.16"/>
    <n v="3967.29"/>
    <n v="3594.87"/>
    <x v="0"/>
    <n v="3.9"/>
  </r>
  <r>
    <s v="ORD-1077"/>
    <x v="50"/>
    <x v="3"/>
    <s v="Throw Pillow"/>
    <x v="4"/>
    <x v="3"/>
    <x v="2"/>
    <n v="441.61"/>
    <n v="12806.69"/>
    <n v="6674.56"/>
    <n v="6132.13"/>
    <x v="0"/>
    <n v="3.1"/>
  </r>
  <r>
    <s v="ORD-1078"/>
    <x v="51"/>
    <x v="4"/>
    <s v="Hair Mask"/>
    <x v="2"/>
    <x v="2"/>
    <x v="34"/>
    <n v="280.60000000000002"/>
    <n v="280.60000000000002"/>
    <n v="118.78"/>
    <n v="161.82"/>
    <x v="2"/>
    <n v="5"/>
  </r>
  <r>
    <s v="ORD-1079"/>
    <x v="52"/>
    <x v="3"/>
    <s v="Wall Clock"/>
    <x v="0"/>
    <x v="2"/>
    <x v="15"/>
    <n v="153.01"/>
    <n v="7038.46"/>
    <n v="4056.64"/>
    <n v="2981.82"/>
    <x v="0"/>
    <n v="3.8"/>
  </r>
  <r>
    <s v="ORD-1080"/>
    <x v="53"/>
    <x v="3"/>
    <s v="Wall Clock"/>
    <x v="2"/>
    <x v="0"/>
    <x v="39"/>
    <n v="461.72"/>
    <n v="6002.36"/>
    <n v="3163.61"/>
    <n v="2838.75"/>
    <x v="0"/>
    <n v="4.8"/>
  </r>
  <r>
    <s v="ORD-1081"/>
    <x v="54"/>
    <x v="7"/>
    <s v="Remote Car"/>
    <x v="4"/>
    <x v="4"/>
    <x v="7"/>
    <n v="140.91"/>
    <n v="4650.03"/>
    <n v="1862.99"/>
    <n v="2787.04"/>
    <x v="2"/>
    <n v="4.5"/>
  </r>
  <r>
    <s v="ORD-1082"/>
    <x v="55"/>
    <x v="0"/>
    <s v="Protein Bars"/>
    <x v="4"/>
    <x v="2"/>
    <x v="2"/>
    <n v="273.89999999999998"/>
    <n v="7943.1"/>
    <n v="3862.58"/>
    <n v="4080.52"/>
    <x v="0"/>
    <n v="4.0999999999999996"/>
  </r>
  <r>
    <s v="ORD-1083"/>
    <x v="56"/>
    <x v="6"/>
    <s v="Cookbook"/>
    <x v="0"/>
    <x v="1"/>
    <x v="22"/>
    <n v="127.01"/>
    <n v="5715.45"/>
    <n v="2833.39"/>
    <n v="2882.06"/>
    <x v="0"/>
    <n v="4.7"/>
  </r>
  <r>
    <s v="ORD-1084"/>
    <x v="51"/>
    <x v="0"/>
    <s v="Herbal Tea"/>
    <x v="3"/>
    <x v="2"/>
    <x v="40"/>
    <n v="494.32"/>
    <n v="12358"/>
    <n v="7391.3"/>
    <n v="4966.7"/>
    <x v="2"/>
    <n v="4.3"/>
  </r>
  <r>
    <s v="ORD-1085"/>
    <x v="57"/>
    <x v="3"/>
    <s v="Desk Organizer"/>
    <x v="2"/>
    <x v="4"/>
    <x v="6"/>
    <n v="172.68"/>
    <n v="6561.84"/>
    <n v="2789.38"/>
    <n v="3772.46"/>
    <x v="1"/>
    <n v="4.7"/>
  </r>
  <r>
    <s v="ORD-1086"/>
    <x v="54"/>
    <x v="5"/>
    <s v="Smart Watch"/>
    <x v="1"/>
    <x v="0"/>
    <x v="27"/>
    <n v="436.76"/>
    <n v="11792.52"/>
    <n v="7576.57"/>
    <n v="4215.95"/>
    <x v="0"/>
    <n v="3.1"/>
  </r>
  <r>
    <s v="ORD-1087"/>
    <x v="57"/>
    <x v="7"/>
    <s v="Building Blocks"/>
    <x v="1"/>
    <x v="2"/>
    <x v="41"/>
    <n v="427.65"/>
    <n v="9408.2999999999993"/>
    <n v="5784.56"/>
    <n v="3623.74"/>
    <x v="0"/>
    <n v="3.8"/>
  </r>
  <r>
    <s v="ORD-1088"/>
    <x v="58"/>
    <x v="5"/>
    <s v="Webcam"/>
    <x v="3"/>
    <x v="1"/>
    <x v="11"/>
    <n v="125.04"/>
    <n v="625.20000000000005"/>
    <n v="357.05"/>
    <n v="268.14999999999998"/>
    <x v="0"/>
    <n v="3.6"/>
  </r>
  <r>
    <s v="ORD-1089"/>
    <x v="59"/>
    <x v="2"/>
    <s v="Summer Dress"/>
    <x v="1"/>
    <x v="1"/>
    <x v="2"/>
    <n v="91.52"/>
    <n v="2654.08"/>
    <n v="1260.33"/>
    <n v="1393.75"/>
    <x v="0"/>
    <n v="3.1"/>
  </r>
  <r>
    <s v="ORD-1090"/>
    <x v="60"/>
    <x v="6"/>
    <s v="Children's Book"/>
    <x v="3"/>
    <x v="3"/>
    <x v="30"/>
    <n v="129.66"/>
    <n v="1296.5999999999999"/>
    <n v="652.21"/>
    <n v="644.39"/>
    <x v="0"/>
    <n v="4.4000000000000004"/>
  </r>
  <r>
    <s v="ORD-1091"/>
    <x v="61"/>
    <x v="7"/>
    <s v="Board Game"/>
    <x v="0"/>
    <x v="0"/>
    <x v="1"/>
    <n v="128.01"/>
    <n v="5632.44"/>
    <n v="3538.34"/>
    <n v="2094.1"/>
    <x v="0"/>
    <n v="3.3"/>
  </r>
  <r>
    <s v="ORD-1092"/>
    <x v="62"/>
    <x v="5"/>
    <s v="USB Hub"/>
    <x v="1"/>
    <x v="4"/>
    <x v="13"/>
    <n v="342.03"/>
    <n v="6498.57"/>
    <n v="2856.08"/>
    <n v="3642.49"/>
    <x v="0"/>
    <n v="3.9"/>
  </r>
  <r>
    <s v="ORD-1093"/>
    <x v="63"/>
    <x v="7"/>
    <s v="Remote Car"/>
    <x v="0"/>
    <x v="1"/>
    <x v="10"/>
    <n v="424.2"/>
    <n v="12726"/>
    <n v="5724.21"/>
    <n v="7001.79"/>
    <x v="0"/>
    <n v="3.8"/>
  </r>
  <r>
    <s v="ORD-1094"/>
    <x v="64"/>
    <x v="6"/>
    <s v="Art Journal"/>
    <x v="0"/>
    <x v="0"/>
    <x v="13"/>
    <n v="496.42"/>
    <n v="9431.98"/>
    <n v="4468.9399999999996"/>
    <n v="4963.04"/>
    <x v="0"/>
    <n v="5"/>
  </r>
  <r>
    <s v="ORD-1095"/>
    <x v="65"/>
    <x v="5"/>
    <s v="Webcam"/>
    <x v="3"/>
    <x v="4"/>
    <x v="42"/>
    <n v="253.4"/>
    <n v="12163.2"/>
    <n v="7614.64"/>
    <n v="4548.5600000000004"/>
    <x v="0"/>
    <n v="3.6"/>
  </r>
  <r>
    <s v="ORD-1096"/>
    <x v="64"/>
    <x v="1"/>
    <s v="Resistance Bands"/>
    <x v="3"/>
    <x v="1"/>
    <x v="25"/>
    <n v="132.81"/>
    <n v="5312.4"/>
    <n v="3128.44"/>
    <n v="2183.96"/>
    <x v="1"/>
    <n v="4.5"/>
  </r>
  <r>
    <s v="ORD-1097"/>
    <x v="64"/>
    <x v="5"/>
    <s v="Laptop Stand"/>
    <x v="1"/>
    <x v="0"/>
    <x v="2"/>
    <n v="26.35"/>
    <n v="764.15"/>
    <n v="375.36"/>
    <n v="388.79"/>
    <x v="0"/>
    <n v="3.3"/>
  </r>
  <r>
    <s v="ORD-1098"/>
    <x v="66"/>
    <x v="3"/>
    <s v="Scented Candle"/>
    <x v="4"/>
    <x v="0"/>
    <x v="43"/>
    <n v="395.39"/>
    <n v="3558.51"/>
    <n v="2203.13"/>
    <n v="1355.38"/>
    <x v="0"/>
    <n v="3.7"/>
  </r>
  <r>
    <s v="ORD-1099"/>
    <x v="53"/>
    <x v="4"/>
    <s v="Moisturizer"/>
    <x v="2"/>
    <x v="3"/>
    <x v="13"/>
    <n v="375.81"/>
    <n v="7140.39"/>
    <n v="3460.8"/>
    <n v="3679.59"/>
    <x v="0"/>
    <n v="3.2"/>
  </r>
  <r>
    <s v="ORD-1100"/>
    <x v="60"/>
    <x v="1"/>
    <s v="Gym Gloves"/>
    <x v="4"/>
    <x v="1"/>
    <x v="16"/>
    <n v="189.23"/>
    <n v="6812.28"/>
    <n v="4071.5"/>
    <n v="2740.78"/>
    <x v="0"/>
    <n v="3"/>
  </r>
  <r>
    <s v="ORD-1101"/>
    <x v="50"/>
    <x v="4"/>
    <s v="Hair Mask"/>
    <x v="3"/>
    <x v="2"/>
    <x v="40"/>
    <n v="412.98"/>
    <n v="10324.5"/>
    <n v="6556.81"/>
    <n v="3767.69"/>
    <x v="0"/>
    <n v="3.2"/>
  </r>
  <r>
    <s v="ORD-1102"/>
    <x v="67"/>
    <x v="6"/>
    <s v="Art Journal"/>
    <x v="1"/>
    <x v="2"/>
    <x v="28"/>
    <n v="327.35000000000002"/>
    <n v="4910.25"/>
    <n v="2744.1"/>
    <n v="2166.15"/>
    <x v="0"/>
    <n v="3.9"/>
  </r>
  <r>
    <s v="ORD-1103"/>
    <x v="68"/>
    <x v="5"/>
    <s v="Wireless Headphones"/>
    <x v="4"/>
    <x v="3"/>
    <x v="12"/>
    <n v="498"/>
    <n v="9960"/>
    <n v="4273.1400000000003"/>
    <n v="5686.86"/>
    <x v="0"/>
    <n v="3.5"/>
  </r>
  <r>
    <s v="ORD-1104"/>
    <x v="69"/>
    <x v="6"/>
    <s v="Art Journal"/>
    <x v="2"/>
    <x v="2"/>
    <x v="27"/>
    <n v="297.8"/>
    <n v="8040.6"/>
    <n v="4676.8100000000004"/>
    <n v="3363.79"/>
    <x v="0"/>
    <n v="4.8"/>
  </r>
  <r>
    <s v="ORD-1105"/>
    <x v="70"/>
    <x v="4"/>
    <s v="Face Serum"/>
    <x v="1"/>
    <x v="1"/>
    <x v="22"/>
    <n v="191.56"/>
    <n v="8620.2000000000007"/>
    <n v="4403.59"/>
    <n v="4216.6099999999997"/>
    <x v="2"/>
    <n v="4.9000000000000004"/>
  </r>
  <r>
    <s v="ORD-1106"/>
    <x v="68"/>
    <x v="6"/>
    <s v="Art Journal"/>
    <x v="2"/>
    <x v="2"/>
    <x v="3"/>
    <n v="185.75"/>
    <n v="7801.5"/>
    <n v="3897.12"/>
    <n v="3904.38"/>
    <x v="0"/>
    <n v="3.4"/>
  </r>
  <r>
    <s v="ORD-1107"/>
    <x v="71"/>
    <x v="1"/>
    <s v="Jump Rope"/>
    <x v="4"/>
    <x v="3"/>
    <x v="44"/>
    <n v="34.78"/>
    <n v="69.56"/>
    <n v="33.619999999999997"/>
    <n v="35.94"/>
    <x v="0"/>
    <n v="5"/>
  </r>
  <r>
    <s v="ORD-1108"/>
    <x v="72"/>
    <x v="1"/>
    <s v="Jump Rope"/>
    <x v="4"/>
    <x v="1"/>
    <x v="35"/>
    <n v="408.4"/>
    <n v="5717.6"/>
    <n v="2620.09"/>
    <n v="3097.51"/>
    <x v="0"/>
    <n v="4.5"/>
  </r>
  <r>
    <s v="ORD-1109"/>
    <x v="73"/>
    <x v="3"/>
    <s v="Scented Candle"/>
    <x v="2"/>
    <x v="3"/>
    <x v="29"/>
    <n v="132.82"/>
    <n v="4648.7"/>
    <n v="2062.2800000000002"/>
    <n v="2586.42"/>
    <x v="0"/>
    <n v="4.3"/>
  </r>
  <r>
    <s v="ORD-1110"/>
    <x v="74"/>
    <x v="1"/>
    <s v="Jump Rope"/>
    <x v="0"/>
    <x v="4"/>
    <x v="21"/>
    <n v="17.73"/>
    <n v="372.33"/>
    <n v="173.63"/>
    <n v="198.7"/>
    <x v="0"/>
    <n v="3.3"/>
  </r>
  <r>
    <s v="ORD-1111"/>
    <x v="71"/>
    <x v="2"/>
    <s v="Casual T-Shirt"/>
    <x v="4"/>
    <x v="3"/>
    <x v="2"/>
    <n v="391.23"/>
    <n v="11345.67"/>
    <n v="5994.03"/>
    <n v="5351.64"/>
    <x v="2"/>
    <n v="3.2"/>
  </r>
  <r>
    <s v="ORD-1112"/>
    <x v="75"/>
    <x v="5"/>
    <s v="Webcam"/>
    <x v="0"/>
    <x v="2"/>
    <x v="12"/>
    <n v="234.44"/>
    <n v="4688.8"/>
    <n v="3005.55"/>
    <n v="1683.25"/>
    <x v="0"/>
    <n v="3.1"/>
  </r>
  <r>
    <s v="ORD-1113"/>
    <x v="76"/>
    <x v="2"/>
    <s v="Casual T-Shirt"/>
    <x v="4"/>
    <x v="3"/>
    <x v="15"/>
    <n v="455.75"/>
    <n v="20964.5"/>
    <n v="8770.9699999999993"/>
    <n v="12193.53"/>
    <x v="0"/>
    <n v="3.2"/>
  </r>
  <r>
    <s v="ORD-1114"/>
    <x v="77"/>
    <x v="4"/>
    <s v="Hair Mask"/>
    <x v="4"/>
    <x v="4"/>
    <x v="14"/>
    <n v="296.83"/>
    <n v="12170.03"/>
    <n v="7034.74"/>
    <n v="5135.29"/>
    <x v="0"/>
    <n v="3.8"/>
  </r>
  <r>
    <s v="ORD-1115"/>
    <x v="68"/>
    <x v="7"/>
    <s v="Building Blocks"/>
    <x v="4"/>
    <x v="3"/>
    <x v="22"/>
    <n v="66.06"/>
    <n v="2972.7"/>
    <n v="1675.65"/>
    <n v="1297.05"/>
    <x v="0"/>
    <n v="4.8"/>
  </r>
  <r>
    <s v="ORD-1116"/>
    <x v="78"/>
    <x v="1"/>
    <s v="Gym Gloves"/>
    <x v="1"/>
    <x v="2"/>
    <x v="41"/>
    <n v="415.44"/>
    <n v="9139.68"/>
    <n v="4566.9399999999996"/>
    <n v="4572.74"/>
    <x v="0"/>
    <n v="4.5"/>
  </r>
  <r>
    <s v="ORD-1117"/>
    <x v="72"/>
    <x v="4"/>
    <s v="Eyeshadow Palette"/>
    <x v="2"/>
    <x v="1"/>
    <x v="30"/>
    <n v="346.54"/>
    <n v="3465.4"/>
    <n v="1797.04"/>
    <n v="1668.36"/>
    <x v="0"/>
    <n v="3.2"/>
  </r>
  <r>
    <s v="ORD-1118"/>
    <x v="74"/>
    <x v="6"/>
    <s v="Cookbook"/>
    <x v="2"/>
    <x v="2"/>
    <x v="16"/>
    <n v="39.39"/>
    <n v="1418.04"/>
    <n v="906.35"/>
    <n v="511.69"/>
    <x v="0"/>
    <n v="4.0999999999999996"/>
  </r>
  <r>
    <s v="ORD-1119"/>
    <x v="67"/>
    <x v="7"/>
    <s v="Building Blocks"/>
    <x v="3"/>
    <x v="3"/>
    <x v="13"/>
    <n v="304.2"/>
    <n v="5779.8"/>
    <n v="2820.03"/>
    <n v="2959.77"/>
    <x v="0"/>
    <n v="4.2"/>
  </r>
  <r>
    <s v="ORD-1120"/>
    <x v="79"/>
    <x v="1"/>
    <s v="Yoga Mat"/>
    <x v="4"/>
    <x v="3"/>
    <x v="17"/>
    <n v="424.23"/>
    <n v="9757.2900000000009"/>
    <n v="4799.5200000000004"/>
    <n v="4957.7700000000004"/>
    <x v="0"/>
    <n v="4.5"/>
  </r>
  <r>
    <s v="ORD-1121"/>
    <x v="80"/>
    <x v="5"/>
    <s v="Webcam"/>
    <x v="1"/>
    <x v="0"/>
    <x v="9"/>
    <n v="416.44"/>
    <n v="17906.919999999998"/>
    <n v="8360.06"/>
    <n v="9546.86"/>
    <x v="0"/>
    <n v="3.4"/>
  </r>
  <r>
    <s v="ORD-1122"/>
    <x v="81"/>
    <x v="3"/>
    <s v="Scented Candle"/>
    <x v="2"/>
    <x v="1"/>
    <x v="31"/>
    <n v="332.1"/>
    <n v="12287.7"/>
    <n v="5128.84"/>
    <n v="7158.86"/>
    <x v="0"/>
    <n v="4.5"/>
  </r>
  <r>
    <s v="ORD-1123"/>
    <x v="81"/>
    <x v="1"/>
    <s v="Gym Gloves"/>
    <x v="1"/>
    <x v="4"/>
    <x v="27"/>
    <n v="232.29"/>
    <n v="6271.83"/>
    <n v="2755.54"/>
    <n v="3516.29"/>
    <x v="0"/>
    <n v="3.6"/>
  </r>
  <r>
    <s v="ORD-1124"/>
    <x v="82"/>
    <x v="5"/>
    <s v="Smart Watch"/>
    <x v="0"/>
    <x v="2"/>
    <x v="19"/>
    <n v="379.67"/>
    <n v="4176.37"/>
    <n v="1722.5"/>
    <n v="2453.87"/>
    <x v="0"/>
    <n v="3.2"/>
  </r>
  <r>
    <s v="ORD-1125"/>
    <x v="74"/>
    <x v="0"/>
    <s v="Herbal Tea"/>
    <x v="2"/>
    <x v="0"/>
    <x v="33"/>
    <n v="115.63"/>
    <n v="2081.34"/>
    <n v="1099.1300000000001"/>
    <n v="982.21"/>
    <x v="0"/>
    <n v="3.7"/>
  </r>
  <r>
    <s v="ORD-1126"/>
    <x v="80"/>
    <x v="0"/>
    <s v="Granola Mix"/>
    <x v="2"/>
    <x v="1"/>
    <x v="9"/>
    <n v="161.13"/>
    <n v="6928.59"/>
    <n v="3153.41"/>
    <n v="3775.18"/>
    <x v="0"/>
    <n v="5"/>
  </r>
  <r>
    <s v="ORD-1127"/>
    <x v="83"/>
    <x v="1"/>
    <s v="Resistance Bands"/>
    <x v="0"/>
    <x v="3"/>
    <x v="23"/>
    <n v="135.19999999999999"/>
    <n v="6624.8"/>
    <n v="3193.36"/>
    <n v="3431.44"/>
    <x v="0"/>
    <n v="3"/>
  </r>
  <r>
    <s v="ORD-1128"/>
    <x v="84"/>
    <x v="1"/>
    <s v="Jump Rope"/>
    <x v="2"/>
    <x v="2"/>
    <x v="16"/>
    <n v="418.34"/>
    <n v="15060.24"/>
    <n v="9059.49"/>
    <n v="6000.75"/>
    <x v="0"/>
    <n v="3.1"/>
  </r>
  <r>
    <s v="ORD-1129"/>
    <x v="85"/>
    <x v="2"/>
    <s v="Running Shoes"/>
    <x v="1"/>
    <x v="1"/>
    <x v="31"/>
    <n v="220.35"/>
    <n v="8152.95"/>
    <n v="4085.49"/>
    <n v="4067.46"/>
    <x v="0"/>
    <n v="4.3"/>
  </r>
  <r>
    <s v="ORD-1130"/>
    <x v="86"/>
    <x v="6"/>
    <s v="Cookbook"/>
    <x v="0"/>
    <x v="1"/>
    <x v="25"/>
    <n v="235.45"/>
    <n v="9418"/>
    <n v="5390.89"/>
    <n v="4027.11"/>
    <x v="0"/>
    <n v="3.7"/>
  </r>
  <r>
    <s v="ORD-1131"/>
    <x v="87"/>
    <x v="7"/>
    <s v="Board Game"/>
    <x v="1"/>
    <x v="3"/>
    <x v="38"/>
    <n v="203.93"/>
    <n v="1223.58"/>
    <n v="584.34"/>
    <n v="639.24"/>
    <x v="0"/>
    <n v="3.7"/>
  </r>
  <r>
    <s v="ORD-1132"/>
    <x v="88"/>
    <x v="2"/>
    <s v="Yoga Pants"/>
    <x v="3"/>
    <x v="3"/>
    <x v="7"/>
    <n v="105.01"/>
    <n v="3465.33"/>
    <n v="2058.6"/>
    <n v="1406.73"/>
    <x v="0"/>
    <n v="3.7"/>
  </r>
  <r>
    <s v="ORD-1133"/>
    <x v="89"/>
    <x v="4"/>
    <s v="Lip Gloss Set"/>
    <x v="3"/>
    <x v="2"/>
    <x v="18"/>
    <n v="305.18"/>
    <n v="3662.16"/>
    <n v="2160.87"/>
    <n v="1501.29"/>
    <x v="0"/>
    <n v="4.3"/>
  </r>
  <r>
    <s v="ORD-1134"/>
    <x v="90"/>
    <x v="0"/>
    <s v="Granola Mix"/>
    <x v="1"/>
    <x v="3"/>
    <x v="3"/>
    <n v="321.3"/>
    <n v="13494.6"/>
    <n v="7504.76"/>
    <n v="5989.84"/>
    <x v="0"/>
    <n v="4.7"/>
  </r>
  <r>
    <s v="ORD-1135"/>
    <x v="91"/>
    <x v="0"/>
    <s v="Herbal Tea"/>
    <x v="4"/>
    <x v="1"/>
    <x v="14"/>
    <n v="158.38"/>
    <n v="6493.58"/>
    <n v="3043.34"/>
    <n v="3450.24"/>
    <x v="0"/>
    <n v="3.1"/>
  </r>
  <r>
    <s v="ORD-1136"/>
    <x v="85"/>
    <x v="0"/>
    <s v="Organic Coffee"/>
    <x v="2"/>
    <x v="4"/>
    <x v="36"/>
    <n v="190.68"/>
    <n v="762.72"/>
    <n v="359.83"/>
    <n v="402.89"/>
    <x v="0"/>
    <n v="4.3"/>
  </r>
  <r>
    <s v="ORD-1137"/>
    <x v="89"/>
    <x v="7"/>
    <s v="Stuffed Animal"/>
    <x v="0"/>
    <x v="4"/>
    <x v="6"/>
    <n v="281.62"/>
    <n v="10701.56"/>
    <n v="6399.05"/>
    <n v="4302.51"/>
    <x v="0"/>
    <n v="4.8"/>
  </r>
  <r>
    <s v="ORD-1138"/>
    <x v="92"/>
    <x v="6"/>
    <s v="Art Journal"/>
    <x v="1"/>
    <x v="1"/>
    <x v="0"/>
    <n v="255.67"/>
    <n v="7925.77"/>
    <n v="5067.9799999999996"/>
    <n v="2857.79"/>
    <x v="0"/>
    <n v="3.9"/>
  </r>
  <r>
    <s v="ORD-1139"/>
    <x v="93"/>
    <x v="3"/>
    <s v="Succulent Set"/>
    <x v="4"/>
    <x v="3"/>
    <x v="45"/>
    <n v="356.73"/>
    <n v="5707.68"/>
    <n v="3697.13"/>
    <n v="2010.55"/>
    <x v="0"/>
    <n v="4"/>
  </r>
  <r>
    <s v="ORD-1140"/>
    <x v="86"/>
    <x v="4"/>
    <s v="Moisturizer"/>
    <x v="1"/>
    <x v="1"/>
    <x v="27"/>
    <n v="389.49"/>
    <n v="10516.23"/>
    <n v="5991.35"/>
    <n v="4524.88"/>
    <x v="0"/>
    <n v="3.1"/>
  </r>
  <r>
    <s v="ORD-1141"/>
    <x v="92"/>
    <x v="7"/>
    <s v="Remote Car"/>
    <x v="3"/>
    <x v="0"/>
    <x v="26"/>
    <n v="364.63"/>
    <n v="6198.71"/>
    <n v="3496.95"/>
    <n v="2701.76"/>
    <x v="0"/>
    <n v="4.8"/>
  </r>
  <r>
    <s v="ORD-1142"/>
    <x v="94"/>
    <x v="3"/>
    <s v="Throw Pillow"/>
    <x v="4"/>
    <x v="1"/>
    <x v="12"/>
    <n v="484.17"/>
    <n v="9683.4"/>
    <n v="5564.28"/>
    <n v="4119.12"/>
    <x v="0"/>
    <n v="3.8"/>
  </r>
  <r>
    <s v="ORD-1143"/>
    <x v="95"/>
    <x v="7"/>
    <s v="Remote Car"/>
    <x v="4"/>
    <x v="1"/>
    <x v="43"/>
    <n v="338.36"/>
    <n v="3045.24"/>
    <n v="1849.19"/>
    <n v="1196.05"/>
    <x v="0"/>
    <n v="4.5"/>
  </r>
  <r>
    <s v="ORD-1144"/>
    <x v="87"/>
    <x v="7"/>
    <s v="Board Game"/>
    <x v="1"/>
    <x v="2"/>
    <x v="32"/>
    <n v="18.93"/>
    <n v="454.32"/>
    <n v="216.81"/>
    <n v="237.51"/>
    <x v="0"/>
    <n v="4.9000000000000004"/>
  </r>
  <r>
    <s v="ORD-1145"/>
    <x v="95"/>
    <x v="3"/>
    <s v="Scented Candle"/>
    <x v="4"/>
    <x v="4"/>
    <x v="11"/>
    <n v="154.94"/>
    <n v="774.7"/>
    <n v="462.52"/>
    <n v="312.18"/>
    <x v="0"/>
    <n v="4"/>
  </r>
  <r>
    <s v="ORD-1146"/>
    <x v="96"/>
    <x v="6"/>
    <s v="Art Journal"/>
    <x v="4"/>
    <x v="3"/>
    <x v="43"/>
    <n v="302.64999999999998"/>
    <n v="2723.85"/>
    <n v="1194.58"/>
    <n v="1529.27"/>
    <x v="0"/>
    <n v="3.4"/>
  </r>
  <r>
    <s v="ORD-1147"/>
    <x v="97"/>
    <x v="5"/>
    <s v="USB Hub"/>
    <x v="1"/>
    <x v="2"/>
    <x v="32"/>
    <n v="341.42"/>
    <n v="8194.08"/>
    <n v="3764.22"/>
    <n v="4429.8599999999997"/>
    <x v="0"/>
    <n v="3.9"/>
  </r>
  <r>
    <s v="ORD-1148"/>
    <x v="98"/>
    <x v="1"/>
    <s v="Water Bottle"/>
    <x v="4"/>
    <x v="2"/>
    <x v="0"/>
    <n v="452.95"/>
    <n v="14041.45"/>
    <n v="6297.65"/>
    <n v="7743.8"/>
    <x v="0"/>
    <n v="4.4000000000000004"/>
  </r>
  <r>
    <s v="ORD-1149"/>
    <x v="98"/>
    <x v="4"/>
    <s v="Moisturizer"/>
    <x v="4"/>
    <x v="3"/>
    <x v="7"/>
    <n v="268.45999999999998"/>
    <n v="8859.18"/>
    <n v="5683.76"/>
    <n v="3175.42"/>
    <x v="0"/>
    <n v="4.5999999999999996"/>
  </r>
  <r>
    <s v="ORD-1150"/>
    <x v="87"/>
    <x v="5"/>
    <s v="USB Hub"/>
    <x v="2"/>
    <x v="0"/>
    <x v="32"/>
    <n v="281.72000000000003"/>
    <n v="6761.28"/>
    <n v="2877.92"/>
    <n v="3883.36"/>
    <x v="0"/>
    <n v="4.7"/>
  </r>
  <r>
    <s v="ORD-1151"/>
    <x v="97"/>
    <x v="3"/>
    <s v="Throw Pillow"/>
    <x v="3"/>
    <x v="2"/>
    <x v="2"/>
    <n v="453.6"/>
    <n v="13154.4"/>
    <n v="5746.33"/>
    <n v="7408.07"/>
    <x v="1"/>
    <n v="3.9"/>
  </r>
  <r>
    <s v="ORD-1152"/>
    <x v="99"/>
    <x v="5"/>
    <s v="USB Hub"/>
    <x v="2"/>
    <x v="0"/>
    <x v="36"/>
    <n v="204.26"/>
    <n v="817.04"/>
    <n v="403.2"/>
    <n v="413.84"/>
    <x v="0"/>
    <n v="3.8"/>
  </r>
  <r>
    <s v="ORD-1153"/>
    <x v="100"/>
    <x v="6"/>
    <s v="Self-Help Guide"/>
    <x v="1"/>
    <x v="2"/>
    <x v="15"/>
    <n v="328.48"/>
    <n v="15110.08"/>
    <n v="9033.49"/>
    <n v="6076.59"/>
    <x v="0"/>
    <n v="3.3"/>
  </r>
  <r>
    <s v="ORD-1154"/>
    <x v="99"/>
    <x v="3"/>
    <s v="Wall Clock"/>
    <x v="3"/>
    <x v="3"/>
    <x v="2"/>
    <n v="311.52"/>
    <n v="9034.08"/>
    <n v="5659.53"/>
    <n v="3374.55"/>
    <x v="0"/>
    <n v="3"/>
  </r>
  <r>
    <s v="ORD-1155"/>
    <x v="101"/>
    <x v="7"/>
    <s v="Building Blocks"/>
    <x v="0"/>
    <x v="4"/>
    <x v="24"/>
    <n v="151.16999999999999"/>
    <n v="7558.5"/>
    <n v="3592.46"/>
    <n v="3966.04"/>
    <x v="0"/>
    <n v="3.1"/>
  </r>
  <r>
    <s v="ORD-1156"/>
    <x v="102"/>
    <x v="2"/>
    <s v="Casual T-Shirt"/>
    <x v="3"/>
    <x v="0"/>
    <x v="8"/>
    <n v="272.67"/>
    <n v="10634.13"/>
    <n v="5933.72"/>
    <n v="4700.41"/>
    <x v="0"/>
    <n v="4.2"/>
  </r>
  <r>
    <s v="ORD-1157"/>
    <x v="103"/>
    <x v="6"/>
    <s v="Cookbook"/>
    <x v="1"/>
    <x v="1"/>
    <x v="31"/>
    <n v="214.12"/>
    <n v="7922.44"/>
    <n v="4484.84"/>
    <n v="3437.6"/>
    <x v="2"/>
    <n v="3.2"/>
  </r>
  <r>
    <s v="ORD-1158"/>
    <x v="104"/>
    <x v="5"/>
    <s v="USB Hub"/>
    <x v="2"/>
    <x v="0"/>
    <x v="0"/>
    <n v="31.33"/>
    <n v="971.23"/>
    <n v="482.43"/>
    <n v="488.8"/>
    <x v="0"/>
    <n v="3.7"/>
  </r>
  <r>
    <s v="ORD-1159"/>
    <x v="105"/>
    <x v="6"/>
    <s v="Cookbook"/>
    <x v="1"/>
    <x v="3"/>
    <x v="46"/>
    <n v="331.98"/>
    <n v="15603.06"/>
    <n v="6645.59"/>
    <n v="8957.4699999999993"/>
    <x v="0"/>
    <n v="4.2"/>
  </r>
  <r>
    <s v="ORD-1160"/>
    <x v="106"/>
    <x v="6"/>
    <s v="Cookbook"/>
    <x v="3"/>
    <x v="3"/>
    <x v="24"/>
    <n v="345.49"/>
    <n v="17274.5"/>
    <n v="11145.59"/>
    <n v="6128.91"/>
    <x v="0"/>
    <n v="4"/>
  </r>
  <r>
    <s v="ORD-1161"/>
    <x v="107"/>
    <x v="0"/>
    <s v="Organic Coffee"/>
    <x v="1"/>
    <x v="0"/>
    <x v="13"/>
    <n v="108.78"/>
    <n v="2066.8200000000002"/>
    <n v="1235.5"/>
    <n v="831.32"/>
    <x v="0"/>
    <n v="4.8"/>
  </r>
  <r>
    <s v="ORD-1162"/>
    <x v="108"/>
    <x v="0"/>
    <s v="Honey Jar"/>
    <x v="2"/>
    <x v="0"/>
    <x v="37"/>
    <n v="379.11"/>
    <n v="1137.33"/>
    <n v="509.27"/>
    <n v="628.05999999999995"/>
    <x v="0"/>
    <n v="3.7"/>
  </r>
  <r>
    <s v="ORD-1163"/>
    <x v="109"/>
    <x v="6"/>
    <s v="Children's Book"/>
    <x v="3"/>
    <x v="2"/>
    <x v="4"/>
    <n v="374.22"/>
    <n v="9729.7199999999993"/>
    <n v="6068.03"/>
    <n v="3661.69"/>
    <x v="0"/>
    <n v="3.8"/>
  </r>
  <r>
    <s v="ORD-1164"/>
    <x v="110"/>
    <x v="6"/>
    <s v="Art Journal"/>
    <x v="4"/>
    <x v="3"/>
    <x v="33"/>
    <n v="402.56"/>
    <n v="7246.08"/>
    <n v="4215.55"/>
    <n v="3030.53"/>
    <x v="0"/>
    <n v="3.2"/>
  </r>
  <r>
    <s v="ORD-1165"/>
    <x v="111"/>
    <x v="6"/>
    <s v="Self-Help Guide"/>
    <x v="0"/>
    <x v="3"/>
    <x v="38"/>
    <n v="170.68"/>
    <n v="1024.08"/>
    <n v="485.32"/>
    <n v="538.76"/>
    <x v="0"/>
    <n v="3.9"/>
  </r>
  <r>
    <s v="ORD-1166"/>
    <x v="104"/>
    <x v="6"/>
    <s v="Children's Book"/>
    <x v="0"/>
    <x v="0"/>
    <x v="37"/>
    <n v="366.14"/>
    <n v="1098.42"/>
    <n v="689.7"/>
    <n v="408.72"/>
    <x v="0"/>
    <n v="4.2"/>
  </r>
  <r>
    <s v="ORD-1167"/>
    <x v="112"/>
    <x v="5"/>
    <s v="Wireless Headphones"/>
    <x v="3"/>
    <x v="1"/>
    <x v="9"/>
    <n v="322.38"/>
    <n v="13862.34"/>
    <n v="6804.02"/>
    <n v="7058.32"/>
    <x v="0"/>
    <n v="4.5999999999999996"/>
  </r>
  <r>
    <s v="ORD-1168"/>
    <x v="113"/>
    <x v="0"/>
    <s v="Organic Coffee"/>
    <x v="0"/>
    <x v="4"/>
    <x v="43"/>
    <n v="42.94"/>
    <n v="386.46"/>
    <n v="229.8"/>
    <n v="156.66"/>
    <x v="0"/>
    <n v="3.7"/>
  </r>
  <r>
    <s v="ORD-1169"/>
    <x v="114"/>
    <x v="3"/>
    <s v="Wall Clock"/>
    <x v="4"/>
    <x v="0"/>
    <x v="32"/>
    <n v="192.29"/>
    <n v="4614.96"/>
    <n v="2726.39"/>
    <n v="1888.57"/>
    <x v="0"/>
    <n v="4.0999999999999996"/>
  </r>
  <r>
    <s v="ORD-1170"/>
    <x v="115"/>
    <x v="4"/>
    <s v="Lip Gloss Set"/>
    <x v="4"/>
    <x v="1"/>
    <x v="47"/>
    <n v="22.7"/>
    <n v="181.6"/>
    <n v="81.09"/>
    <n v="100.51"/>
    <x v="0"/>
    <n v="4"/>
  </r>
  <r>
    <s v="ORD-1171"/>
    <x v="100"/>
    <x v="4"/>
    <s v="Moisturizer"/>
    <x v="0"/>
    <x v="3"/>
    <x v="35"/>
    <n v="498.22"/>
    <n v="6975.08"/>
    <n v="3288.01"/>
    <n v="3687.07"/>
    <x v="0"/>
    <n v="4.8"/>
  </r>
  <r>
    <s v="ORD-1172"/>
    <x v="116"/>
    <x v="2"/>
    <s v="Casual T-Shirt"/>
    <x v="1"/>
    <x v="0"/>
    <x v="18"/>
    <n v="450.35"/>
    <n v="5404.2"/>
    <n v="2763.05"/>
    <n v="2641.15"/>
    <x v="0"/>
    <n v="3.2"/>
  </r>
  <r>
    <s v="ORD-1173"/>
    <x v="107"/>
    <x v="4"/>
    <s v="Eyeshadow Palette"/>
    <x v="1"/>
    <x v="4"/>
    <x v="19"/>
    <n v="358.79"/>
    <n v="3946.69"/>
    <n v="2493.64"/>
    <n v="1453.05"/>
    <x v="0"/>
    <n v="4.3"/>
  </r>
  <r>
    <s v="ORD-1174"/>
    <x v="101"/>
    <x v="1"/>
    <s v="Resistance Bands"/>
    <x v="1"/>
    <x v="2"/>
    <x v="45"/>
    <n v="397.28"/>
    <n v="6356.48"/>
    <n v="2584.36"/>
    <n v="3772.12"/>
    <x v="0"/>
    <n v="4.0999999999999996"/>
  </r>
  <r>
    <s v="ORD-1175"/>
    <x v="101"/>
    <x v="3"/>
    <s v="Desk Organizer"/>
    <x v="0"/>
    <x v="4"/>
    <x v="38"/>
    <n v="42.22"/>
    <n v="253.32"/>
    <n v="126.54"/>
    <n v="126.78"/>
    <x v="0"/>
    <n v="4.4000000000000004"/>
  </r>
  <r>
    <s v="ORD-1176"/>
    <x v="116"/>
    <x v="7"/>
    <s v="Board Game"/>
    <x v="0"/>
    <x v="4"/>
    <x v="11"/>
    <n v="71.41"/>
    <n v="357.05"/>
    <n v="171.12"/>
    <n v="185.93"/>
    <x v="0"/>
    <n v="3.1"/>
  </r>
  <r>
    <s v="ORD-1177"/>
    <x v="117"/>
    <x v="3"/>
    <s v="Scented Candle"/>
    <x v="4"/>
    <x v="3"/>
    <x v="5"/>
    <n v="256.39999999999998"/>
    <n v="7179.2"/>
    <n v="4429.95"/>
    <n v="2749.25"/>
    <x v="0"/>
    <n v="4.7"/>
  </r>
  <r>
    <s v="ORD-1178"/>
    <x v="118"/>
    <x v="3"/>
    <s v="Throw Pillow"/>
    <x v="1"/>
    <x v="1"/>
    <x v="15"/>
    <n v="120.48"/>
    <n v="5542.08"/>
    <n v="3529.59"/>
    <n v="2012.49"/>
    <x v="0"/>
    <n v="4"/>
  </r>
  <r>
    <s v="ORD-1179"/>
    <x v="119"/>
    <x v="4"/>
    <s v="Lip Gloss Set"/>
    <x v="3"/>
    <x v="4"/>
    <x v="14"/>
    <n v="158.38"/>
    <n v="6493.58"/>
    <n v="3463.48"/>
    <n v="3030.1"/>
    <x v="2"/>
    <n v="4"/>
  </r>
  <r>
    <s v="ORD-1180"/>
    <x v="120"/>
    <x v="3"/>
    <s v="Scented Candle"/>
    <x v="4"/>
    <x v="1"/>
    <x v="9"/>
    <n v="315.99"/>
    <n v="13587.57"/>
    <n v="8499.0300000000007"/>
    <n v="5088.54"/>
    <x v="0"/>
    <n v="3.7"/>
  </r>
  <r>
    <s v="ORD-1181"/>
    <x v="121"/>
    <x v="5"/>
    <s v="Wireless Headphones"/>
    <x v="3"/>
    <x v="4"/>
    <x v="37"/>
    <n v="474.79"/>
    <n v="1424.37"/>
    <n v="844.3"/>
    <n v="580.07000000000005"/>
    <x v="0"/>
    <n v="3.5"/>
  </r>
  <r>
    <s v="ORD-1182"/>
    <x v="122"/>
    <x v="5"/>
    <s v="USB Hub"/>
    <x v="3"/>
    <x v="2"/>
    <x v="14"/>
    <n v="277.33"/>
    <n v="11370.53"/>
    <n v="6372.92"/>
    <n v="4997.6099999999997"/>
    <x v="0"/>
    <n v="3.6"/>
  </r>
  <r>
    <s v="ORD-1183"/>
    <x v="123"/>
    <x v="2"/>
    <s v="Summer Dress"/>
    <x v="4"/>
    <x v="3"/>
    <x v="19"/>
    <n v="225.41"/>
    <n v="2479.5100000000002"/>
    <n v="1291.98"/>
    <n v="1187.53"/>
    <x v="0"/>
    <n v="3.4"/>
  </r>
  <r>
    <s v="ORD-1184"/>
    <x v="124"/>
    <x v="6"/>
    <s v="Novel Bestseller"/>
    <x v="1"/>
    <x v="3"/>
    <x v="4"/>
    <n v="74.08"/>
    <n v="1926.08"/>
    <n v="948.85"/>
    <n v="977.23"/>
    <x v="0"/>
    <n v="4.0999999999999996"/>
  </r>
  <r>
    <s v="ORD-1185"/>
    <x v="125"/>
    <x v="4"/>
    <s v="Moisturizer"/>
    <x v="4"/>
    <x v="2"/>
    <x v="45"/>
    <n v="79.03"/>
    <n v="1264.48"/>
    <n v="521.79"/>
    <n v="742.69"/>
    <x v="0"/>
    <n v="4.9000000000000004"/>
  </r>
  <r>
    <s v="ORD-1186"/>
    <x v="123"/>
    <x v="3"/>
    <s v="Throw Pillow"/>
    <x v="4"/>
    <x v="2"/>
    <x v="31"/>
    <n v="363.35"/>
    <n v="13443.95"/>
    <n v="6015.61"/>
    <n v="7428.34"/>
    <x v="0"/>
    <n v="3.3"/>
  </r>
  <r>
    <s v="ORD-1187"/>
    <x v="120"/>
    <x v="4"/>
    <s v="Moisturizer"/>
    <x v="3"/>
    <x v="3"/>
    <x v="44"/>
    <n v="54.12"/>
    <n v="108.24"/>
    <n v="53.94"/>
    <n v="54.3"/>
    <x v="0"/>
    <n v="3.9"/>
  </r>
  <r>
    <s v="ORD-1188"/>
    <x v="126"/>
    <x v="5"/>
    <s v="Wireless Headphones"/>
    <x v="0"/>
    <x v="0"/>
    <x v="13"/>
    <n v="252.5"/>
    <n v="4797.5"/>
    <n v="2977.26"/>
    <n v="1820.24"/>
    <x v="0"/>
    <n v="4.3"/>
  </r>
  <r>
    <s v="ORD-1189"/>
    <x v="119"/>
    <x v="2"/>
    <s v="Casual T-Shirt"/>
    <x v="1"/>
    <x v="1"/>
    <x v="43"/>
    <n v="442.4"/>
    <n v="3981.6"/>
    <n v="2316.8000000000002"/>
    <n v="1664.8"/>
    <x v="0"/>
    <n v="4.5"/>
  </r>
  <r>
    <s v="ORD-1190"/>
    <x v="126"/>
    <x v="1"/>
    <s v="Water Bottle"/>
    <x v="4"/>
    <x v="0"/>
    <x v="16"/>
    <n v="151.41"/>
    <n v="5450.76"/>
    <n v="2706.78"/>
    <n v="2743.98"/>
    <x v="0"/>
    <n v="3.9"/>
  </r>
  <r>
    <s v="ORD-1191"/>
    <x v="127"/>
    <x v="2"/>
    <s v="Denim Jacket"/>
    <x v="1"/>
    <x v="3"/>
    <x v="48"/>
    <n v="203.01"/>
    <n v="1421.07"/>
    <n v="850.83"/>
    <n v="570.24"/>
    <x v="0"/>
    <n v="3.7"/>
  </r>
  <r>
    <s v="ORD-1192"/>
    <x v="128"/>
    <x v="7"/>
    <s v="Board Game"/>
    <x v="0"/>
    <x v="4"/>
    <x v="37"/>
    <n v="32.200000000000003"/>
    <n v="96.6"/>
    <n v="41.95"/>
    <n v="54.65"/>
    <x v="0"/>
    <n v="3.7"/>
  </r>
  <r>
    <s v="ORD-1193"/>
    <x v="125"/>
    <x v="3"/>
    <s v="Throw Pillow"/>
    <x v="1"/>
    <x v="4"/>
    <x v="25"/>
    <n v="166.08"/>
    <n v="6643.2"/>
    <n v="3309.9"/>
    <n v="3333.3"/>
    <x v="0"/>
    <n v="4.2"/>
  </r>
  <r>
    <s v="ORD-1194"/>
    <x v="129"/>
    <x v="0"/>
    <s v="Granola Mix"/>
    <x v="2"/>
    <x v="2"/>
    <x v="12"/>
    <n v="242.7"/>
    <n v="4854"/>
    <n v="1961.79"/>
    <n v="2892.21"/>
    <x v="0"/>
    <n v="3.7"/>
  </r>
  <r>
    <s v="ORD-1195"/>
    <x v="130"/>
    <x v="5"/>
    <s v="Webcam"/>
    <x v="4"/>
    <x v="4"/>
    <x v="0"/>
    <n v="140.11000000000001"/>
    <n v="4343.41"/>
    <n v="2449.2399999999998"/>
    <n v="1894.17"/>
    <x v="0"/>
    <n v="4.9000000000000004"/>
  </r>
  <r>
    <s v="ORD-1196"/>
    <x v="131"/>
    <x v="5"/>
    <s v="Webcam"/>
    <x v="0"/>
    <x v="3"/>
    <x v="0"/>
    <n v="93.55"/>
    <n v="2900.05"/>
    <n v="1616.07"/>
    <n v="1283.98"/>
    <x v="0"/>
    <n v="4.2"/>
  </r>
  <r>
    <s v="ORD-1197"/>
    <x v="117"/>
    <x v="1"/>
    <s v="Yoga Mat"/>
    <x v="1"/>
    <x v="2"/>
    <x v="31"/>
    <n v="474.62"/>
    <n v="17560.939999999999"/>
    <n v="7506.84"/>
    <n v="10054.1"/>
    <x v="0"/>
    <n v="3"/>
  </r>
  <r>
    <s v="ORD-1198"/>
    <x v="122"/>
    <x v="1"/>
    <s v="Gym Gloves"/>
    <x v="2"/>
    <x v="3"/>
    <x v="7"/>
    <n v="389.74"/>
    <n v="12861.42"/>
    <n v="8104.37"/>
    <n v="4757.05"/>
    <x v="0"/>
    <n v="4.7"/>
  </r>
  <r>
    <s v="ORD-1199"/>
    <x v="124"/>
    <x v="6"/>
    <s v="Children's Book"/>
    <x v="4"/>
    <x v="0"/>
    <x v="20"/>
    <n v="194.64"/>
    <n v="6617.76"/>
    <n v="4229.88"/>
    <n v="2387.88"/>
    <x v="0"/>
    <n v="3.9"/>
  </r>
  <r>
    <s v="ORD-1200"/>
    <x v="124"/>
    <x v="4"/>
    <s v="Hair Mask"/>
    <x v="3"/>
    <x v="0"/>
    <x v="0"/>
    <n v="104.21"/>
    <n v="3230.51"/>
    <n v="1491.3"/>
    <n v="1739.21"/>
    <x v="0"/>
    <n v="4.0999999999999996"/>
  </r>
  <r>
    <s v="ORD-1201"/>
    <x v="119"/>
    <x v="1"/>
    <s v="Gym Gloves"/>
    <x v="1"/>
    <x v="0"/>
    <x v="21"/>
    <n v="245.1"/>
    <n v="5147.1000000000004"/>
    <n v="2780.06"/>
    <n v="2367.04"/>
    <x v="0"/>
    <n v="4.9000000000000004"/>
  </r>
  <r>
    <s v="ORD-1202"/>
    <x v="132"/>
    <x v="7"/>
    <s v="Stuffed Animal"/>
    <x v="1"/>
    <x v="1"/>
    <x v="17"/>
    <n v="477.76"/>
    <n v="10988.48"/>
    <n v="6605.77"/>
    <n v="4382.71"/>
    <x v="0"/>
    <n v="3.6"/>
  </r>
  <r>
    <s v="ORD-1203"/>
    <x v="133"/>
    <x v="0"/>
    <s v="Honey Jar"/>
    <x v="4"/>
    <x v="0"/>
    <x v="42"/>
    <n v="244.75"/>
    <n v="11748"/>
    <n v="5292.67"/>
    <n v="6455.33"/>
    <x v="0"/>
    <n v="4.0999999999999996"/>
  </r>
  <r>
    <s v="ORD-1204"/>
    <x v="134"/>
    <x v="1"/>
    <s v="Resistance Bands"/>
    <x v="2"/>
    <x v="1"/>
    <x v="36"/>
    <n v="338.22"/>
    <n v="1352.88"/>
    <n v="720.76"/>
    <n v="632.12"/>
    <x v="0"/>
    <n v="4.3"/>
  </r>
  <r>
    <s v="ORD-1205"/>
    <x v="132"/>
    <x v="0"/>
    <s v="Organic Coffee"/>
    <x v="3"/>
    <x v="2"/>
    <x v="1"/>
    <n v="387.68"/>
    <n v="17057.919999999998"/>
    <n v="6845.26"/>
    <n v="10212.66"/>
    <x v="0"/>
    <n v="4.0999999999999996"/>
  </r>
  <r>
    <s v="ORD-1206"/>
    <x v="135"/>
    <x v="0"/>
    <s v="Herbal Tea"/>
    <x v="2"/>
    <x v="1"/>
    <x v="3"/>
    <n v="107.73"/>
    <n v="4524.66"/>
    <n v="2900.21"/>
    <n v="1624.45"/>
    <x v="0"/>
    <n v="3.6"/>
  </r>
  <r>
    <s v="ORD-1207"/>
    <x v="136"/>
    <x v="1"/>
    <s v="Jump Rope"/>
    <x v="3"/>
    <x v="2"/>
    <x v="42"/>
    <n v="364.33"/>
    <n v="17487.84"/>
    <n v="11090.22"/>
    <n v="6397.62"/>
    <x v="1"/>
    <n v="4.8"/>
  </r>
  <r>
    <s v="ORD-1208"/>
    <x v="137"/>
    <x v="3"/>
    <s v="Succulent Set"/>
    <x v="1"/>
    <x v="1"/>
    <x v="4"/>
    <n v="396.1"/>
    <n v="10298.6"/>
    <n v="4599.13"/>
    <n v="5699.47"/>
    <x v="0"/>
    <n v="4.5"/>
  </r>
  <r>
    <s v="ORD-1209"/>
    <x v="138"/>
    <x v="2"/>
    <s v="Running Shoes"/>
    <x v="3"/>
    <x v="4"/>
    <x v="13"/>
    <n v="232.63"/>
    <n v="4419.97"/>
    <n v="2476.63"/>
    <n v="1943.34"/>
    <x v="0"/>
    <n v="4"/>
  </r>
  <r>
    <s v="ORD-1210"/>
    <x v="139"/>
    <x v="1"/>
    <s v="Yoga Mat"/>
    <x v="3"/>
    <x v="1"/>
    <x v="41"/>
    <n v="89.62"/>
    <n v="1971.64"/>
    <n v="1014.86"/>
    <n v="956.78"/>
    <x v="0"/>
    <n v="3.5"/>
  </r>
  <r>
    <s v="ORD-1211"/>
    <x v="137"/>
    <x v="4"/>
    <s v="Hair Mask"/>
    <x v="0"/>
    <x v="2"/>
    <x v="1"/>
    <n v="381.07"/>
    <n v="16767.080000000002"/>
    <n v="7442.47"/>
    <n v="9324.61"/>
    <x v="0"/>
    <n v="4.7"/>
  </r>
  <r>
    <s v="ORD-1212"/>
    <x v="132"/>
    <x v="2"/>
    <s v="Casual T-Shirt"/>
    <x v="3"/>
    <x v="1"/>
    <x v="9"/>
    <n v="56.74"/>
    <n v="2439.8200000000002"/>
    <n v="1574.71"/>
    <n v="865.11"/>
    <x v="0"/>
    <n v="4"/>
  </r>
  <r>
    <s v="ORD-1213"/>
    <x v="140"/>
    <x v="1"/>
    <s v="Gym Gloves"/>
    <x v="4"/>
    <x v="1"/>
    <x v="23"/>
    <n v="140.83000000000001"/>
    <n v="6900.67"/>
    <n v="3328.93"/>
    <n v="3571.74"/>
    <x v="0"/>
    <n v="4.2"/>
  </r>
  <r>
    <s v="ORD-1214"/>
    <x v="141"/>
    <x v="6"/>
    <s v="Cookbook"/>
    <x v="4"/>
    <x v="0"/>
    <x v="36"/>
    <n v="337.22"/>
    <n v="1348.88"/>
    <n v="696.49"/>
    <n v="652.39"/>
    <x v="0"/>
    <n v="3.3"/>
  </r>
  <r>
    <s v="ORD-1215"/>
    <x v="142"/>
    <x v="4"/>
    <s v="Eyeshadow Palette"/>
    <x v="0"/>
    <x v="4"/>
    <x v="25"/>
    <n v="118.22"/>
    <n v="4728.8"/>
    <n v="3023.31"/>
    <n v="1705.49"/>
    <x v="0"/>
    <n v="4"/>
  </r>
  <r>
    <s v="ORD-1216"/>
    <x v="143"/>
    <x v="0"/>
    <s v="Granola Mix"/>
    <x v="4"/>
    <x v="1"/>
    <x v="9"/>
    <n v="414.55"/>
    <n v="17825.650000000001"/>
    <n v="10525.42"/>
    <n v="7300.23"/>
    <x v="0"/>
    <n v="4.4000000000000004"/>
  </r>
  <r>
    <s v="ORD-1217"/>
    <x v="133"/>
    <x v="6"/>
    <s v="Self-Help Guide"/>
    <x v="3"/>
    <x v="4"/>
    <x v="31"/>
    <n v="64.98"/>
    <n v="2404.2600000000002"/>
    <n v="1459.85"/>
    <n v="944.41"/>
    <x v="0"/>
    <n v="4.8"/>
  </r>
  <r>
    <s v="ORD-1218"/>
    <x v="134"/>
    <x v="3"/>
    <s v="Throw Pillow"/>
    <x v="0"/>
    <x v="1"/>
    <x v="20"/>
    <n v="226.5"/>
    <n v="7701"/>
    <n v="4390.1400000000003"/>
    <n v="3310.86"/>
    <x v="1"/>
    <n v="4.4000000000000004"/>
  </r>
  <r>
    <s v="ORD-1219"/>
    <x v="144"/>
    <x v="0"/>
    <s v="Organic Coffee"/>
    <x v="4"/>
    <x v="2"/>
    <x v="10"/>
    <n v="74.650000000000006"/>
    <n v="2239.5"/>
    <n v="1128.3900000000001"/>
    <n v="1111.1099999999999"/>
    <x v="0"/>
    <n v="4.0999999999999996"/>
  </r>
  <r>
    <s v="ORD-1220"/>
    <x v="133"/>
    <x v="4"/>
    <s v="Face Serum"/>
    <x v="2"/>
    <x v="1"/>
    <x v="4"/>
    <n v="134.68"/>
    <n v="3501.68"/>
    <n v="1403.31"/>
    <n v="2098.37"/>
    <x v="0"/>
    <n v="3.4"/>
  </r>
  <r>
    <s v="ORD-1221"/>
    <x v="132"/>
    <x v="2"/>
    <s v="Yoga Pants"/>
    <x v="2"/>
    <x v="0"/>
    <x v="36"/>
    <n v="467.95"/>
    <n v="1871.8"/>
    <n v="781.02"/>
    <n v="1090.78"/>
    <x v="0"/>
    <n v="4.9000000000000004"/>
  </r>
  <r>
    <s v="ORD-1222"/>
    <x v="145"/>
    <x v="3"/>
    <s v="Wall Clock"/>
    <x v="0"/>
    <x v="2"/>
    <x v="32"/>
    <n v="496.5"/>
    <n v="11916"/>
    <n v="5905.81"/>
    <n v="6010.19"/>
    <x v="0"/>
    <n v="4.7"/>
  </r>
  <r>
    <s v="ORD-1223"/>
    <x v="140"/>
    <x v="3"/>
    <s v="Throw Pillow"/>
    <x v="3"/>
    <x v="1"/>
    <x v="47"/>
    <n v="97.45"/>
    <n v="779.6"/>
    <n v="416.55"/>
    <n v="363.05"/>
    <x v="0"/>
    <n v="4.0999999999999996"/>
  </r>
  <r>
    <s v="ORD-1224"/>
    <x v="146"/>
    <x v="4"/>
    <s v="Moisturizer"/>
    <x v="3"/>
    <x v="3"/>
    <x v="1"/>
    <n v="362.36"/>
    <n v="15943.84"/>
    <n v="8068.09"/>
    <n v="7875.75"/>
    <x v="0"/>
    <n v="3.8"/>
  </r>
  <r>
    <s v="ORD-1225"/>
    <x v="147"/>
    <x v="3"/>
    <s v="Throw Pillow"/>
    <x v="0"/>
    <x v="4"/>
    <x v="39"/>
    <n v="469.33"/>
    <n v="6101.29"/>
    <n v="3546.41"/>
    <n v="2554.88"/>
    <x v="0"/>
    <n v="3.2"/>
  </r>
  <r>
    <s v="ORD-1226"/>
    <x v="145"/>
    <x v="5"/>
    <s v="Smart Watch"/>
    <x v="2"/>
    <x v="3"/>
    <x v="35"/>
    <n v="42.97"/>
    <n v="601.58000000000004"/>
    <n v="329.96"/>
    <n v="271.62"/>
    <x v="0"/>
    <n v="3.9"/>
  </r>
  <r>
    <s v="ORD-1227"/>
    <x v="148"/>
    <x v="7"/>
    <s v="Stuffed Animal"/>
    <x v="3"/>
    <x v="4"/>
    <x v="28"/>
    <n v="274.48"/>
    <n v="4117.2"/>
    <n v="2423.37"/>
    <n v="1693.83"/>
    <x v="2"/>
    <n v="4.5999999999999996"/>
  </r>
  <r>
    <s v="ORD-1228"/>
    <x v="149"/>
    <x v="1"/>
    <s v="Jump Rope"/>
    <x v="3"/>
    <x v="0"/>
    <x v="21"/>
    <n v="292.95999999999998"/>
    <n v="6152.16"/>
    <n v="3649.06"/>
    <n v="2503.1"/>
    <x v="1"/>
    <n v="4.5999999999999996"/>
  </r>
  <r>
    <s v="ORD-1229"/>
    <x v="150"/>
    <x v="1"/>
    <s v="Gym Gloves"/>
    <x v="3"/>
    <x v="2"/>
    <x v="12"/>
    <n v="144.83000000000001"/>
    <n v="2896.6"/>
    <n v="1561.79"/>
    <n v="1334.81"/>
    <x v="0"/>
    <n v="4.2"/>
  </r>
  <r>
    <s v="ORD-1230"/>
    <x v="151"/>
    <x v="5"/>
    <s v="Laptop Stand"/>
    <x v="0"/>
    <x v="2"/>
    <x v="3"/>
    <n v="338.96"/>
    <n v="14236.32"/>
    <n v="8491.27"/>
    <n v="5745.05"/>
    <x v="0"/>
    <n v="3.6"/>
  </r>
  <r>
    <s v="ORD-1231"/>
    <x v="152"/>
    <x v="7"/>
    <s v="Puzzle Set"/>
    <x v="3"/>
    <x v="2"/>
    <x v="23"/>
    <n v="273.58"/>
    <n v="13405.42"/>
    <n v="6169.74"/>
    <n v="7235.68"/>
    <x v="1"/>
    <n v="3.5"/>
  </r>
  <r>
    <s v="ORD-1232"/>
    <x v="153"/>
    <x v="7"/>
    <s v="Stuffed Animal"/>
    <x v="1"/>
    <x v="1"/>
    <x v="16"/>
    <n v="269.7"/>
    <n v="9709.2000000000007"/>
    <n v="4826.49"/>
    <n v="4882.71"/>
    <x v="1"/>
    <n v="3.5"/>
  </r>
  <r>
    <s v="ORD-1233"/>
    <x v="154"/>
    <x v="6"/>
    <s v="Self-Help Guide"/>
    <x v="4"/>
    <x v="4"/>
    <x v="29"/>
    <n v="365.05"/>
    <n v="12776.75"/>
    <n v="5719.13"/>
    <n v="7057.62"/>
    <x v="0"/>
    <n v="3.5"/>
  </r>
  <r>
    <s v="ORD-1234"/>
    <x v="153"/>
    <x v="2"/>
    <s v="Denim Jacket"/>
    <x v="3"/>
    <x v="0"/>
    <x v="23"/>
    <n v="297.92"/>
    <n v="14598.08"/>
    <n v="8289.7000000000007"/>
    <n v="6308.38"/>
    <x v="0"/>
    <n v="3.4"/>
  </r>
  <r>
    <s v="ORD-1235"/>
    <x v="155"/>
    <x v="5"/>
    <s v="Smart Watch"/>
    <x v="0"/>
    <x v="3"/>
    <x v="39"/>
    <n v="481.42"/>
    <n v="6258.46"/>
    <n v="2686.94"/>
    <n v="3571.52"/>
    <x v="0"/>
    <n v="5"/>
  </r>
  <r>
    <s v="ORD-1236"/>
    <x v="156"/>
    <x v="1"/>
    <s v="Gym Gloves"/>
    <x v="4"/>
    <x v="0"/>
    <x v="45"/>
    <n v="280.52"/>
    <n v="4488.32"/>
    <n v="2665.52"/>
    <n v="1822.8"/>
    <x v="0"/>
    <n v="3.8"/>
  </r>
  <r>
    <s v="ORD-1237"/>
    <x v="156"/>
    <x v="6"/>
    <s v="Art Journal"/>
    <x v="1"/>
    <x v="3"/>
    <x v="49"/>
    <n v="238.34"/>
    <n v="7626.88"/>
    <n v="4581.5"/>
    <n v="3045.38"/>
    <x v="0"/>
    <n v="4.4000000000000004"/>
  </r>
  <r>
    <s v="ORD-1238"/>
    <x v="157"/>
    <x v="7"/>
    <s v="Building Blocks"/>
    <x v="4"/>
    <x v="4"/>
    <x v="31"/>
    <n v="433.4"/>
    <n v="16035.8"/>
    <n v="9385.9599999999991"/>
    <n v="6649.84"/>
    <x v="0"/>
    <n v="3"/>
  </r>
  <r>
    <s v="ORD-1239"/>
    <x v="158"/>
    <x v="7"/>
    <s v="Remote Car"/>
    <x v="3"/>
    <x v="2"/>
    <x v="30"/>
    <n v="106.13"/>
    <n v="1061.3"/>
    <n v="485.55"/>
    <n v="575.75"/>
    <x v="0"/>
    <n v="4.0999999999999996"/>
  </r>
  <r>
    <s v="ORD-1240"/>
    <x v="150"/>
    <x v="6"/>
    <s v="Novel Bestseller"/>
    <x v="0"/>
    <x v="2"/>
    <x v="23"/>
    <n v="412.58"/>
    <n v="20216.419999999998"/>
    <n v="12971.4"/>
    <n v="7245.02"/>
    <x v="0"/>
    <n v="4.3"/>
  </r>
  <r>
    <s v="ORD-1241"/>
    <x v="156"/>
    <x v="6"/>
    <s v="Cookbook"/>
    <x v="4"/>
    <x v="1"/>
    <x v="43"/>
    <n v="362.95"/>
    <n v="3266.55"/>
    <n v="1705.4"/>
    <n v="1561.15"/>
    <x v="0"/>
    <n v="4.8"/>
  </r>
  <r>
    <s v="ORD-1242"/>
    <x v="159"/>
    <x v="2"/>
    <s v="Summer Dress"/>
    <x v="2"/>
    <x v="3"/>
    <x v="23"/>
    <n v="13.13"/>
    <n v="643.37"/>
    <n v="279.45999999999998"/>
    <n v="363.91"/>
    <x v="0"/>
    <n v="4.3"/>
  </r>
  <r>
    <s v="ORD-1243"/>
    <x v="160"/>
    <x v="0"/>
    <s v="Honey Jar"/>
    <x v="0"/>
    <x v="2"/>
    <x v="36"/>
    <n v="312.74"/>
    <n v="1250.96"/>
    <n v="708.9"/>
    <n v="542.05999999999995"/>
    <x v="0"/>
    <n v="4.2"/>
  </r>
  <r>
    <s v="ORD-1244"/>
    <x v="159"/>
    <x v="7"/>
    <s v="Building Blocks"/>
    <x v="2"/>
    <x v="4"/>
    <x v="44"/>
    <n v="269.41000000000003"/>
    <n v="538.82000000000005"/>
    <n v="252.54"/>
    <n v="286.27999999999997"/>
    <x v="0"/>
    <n v="5"/>
  </r>
  <r>
    <s v="ORD-1245"/>
    <x v="161"/>
    <x v="7"/>
    <s v="Puzzle Set"/>
    <x v="4"/>
    <x v="4"/>
    <x v="48"/>
    <n v="459.84"/>
    <n v="3218.88"/>
    <n v="1709.54"/>
    <n v="1509.34"/>
    <x v="0"/>
    <n v="3.5"/>
  </r>
  <r>
    <s v="ORD-1246"/>
    <x v="161"/>
    <x v="6"/>
    <s v="Novel Bestseller"/>
    <x v="3"/>
    <x v="3"/>
    <x v="4"/>
    <n v="48.72"/>
    <n v="1266.72"/>
    <n v="810.48"/>
    <n v="456.24"/>
    <x v="0"/>
    <n v="3.9"/>
  </r>
  <r>
    <s v="ORD-1247"/>
    <x v="162"/>
    <x v="2"/>
    <s v="Summer Dress"/>
    <x v="2"/>
    <x v="3"/>
    <x v="38"/>
    <n v="208.59"/>
    <n v="1251.54"/>
    <n v="618.63"/>
    <n v="632.91"/>
    <x v="0"/>
    <n v="4"/>
  </r>
  <r>
    <s v="ORD-1248"/>
    <x v="158"/>
    <x v="7"/>
    <s v="Remote Car"/>
    <x v="2"/>
    <x v="3"/>
    <x v="31"/>
    <n v="488.89"/>
    <n v="18088.93"/>
    <n v="11639.5"/>
    <n v="6449.43"/>
    <x v="0"/>
    <n v="4.8"/>
  </r>
  <r>
    <s v="ORD-1249"/>
    <x v="160"/>
    <x v="0"/>
    <s v="Honey Jar"/>
    <x v="4"/>
    <x v="4"/>
    <x v="37"/>
    <n v="462.84"/>
    <n v="1388.52"/>
    <n v="792.99"/>
    <n v="595.53"/>
    <x v="0"/>
    <n v="3.6"/>
  </r>
  <r>
    <s v="ORD-1250"/>
    <x v="163"/>
    <x v="3"/>
    <s v="Throw Pillow"/>
    <x v="0"/>
    <x v="1"/>
    <x v="44"/>
    <n v="481.12"/>
    <n v="962.24"/>
    <n v="526.11"/>
    <n v="436.13"/>
    <x v="0"/>
    <n v="4.5"/>
  </r>
  <r>
    <s v="ORD-1251"/>
    <x v="164"/>
    <x v="1"/>
    <s v="Jump Rope"/>
    <x v="3"/>
    <x v="1"/>
    <x v="40"/>
    <n v="341.75"/>
    <n v="8543.75"/>
    <n v="4572.1099999999997"/>
    <n v="3971.64"/>
    <x v="0"/>
    <n v="3.8"/>
  </r>
  <r>
    <s v="ORD-1252"/>
    <x v="165"/>
    <x v="6"/>
    <s v="Self-Help Guide"/>
    <x v="4"/>
    <x v="4"/>
    <x v="48"/>
    <n v="224.17"/>
    <n v="1569.19"/>
    <n v="956.69"/>
    <n v="612.5"/>
    <x v="0"/>
    <n v="3.7"/>
  </r>
  <r>
    <s v="ORD-1253"/>
    <x v="166"/>
    <x v="6"/>
    <s v="Self-Help Guide"/>
    <x v="1"/>
    <x v="4"/>
    <x v="14"/>
    <n v="143.93"/>
    <n v="5901.13"/>
    <n v="3824.8"/>
    <n v="2076.33"/>
    <x v="2"/>
    <n v="4"/>
  </r>
  <r>
    <s v="ORD-1254"/>
    <x v="167"/>
    <x v="7"/>
    <s v="Puzzle Set"/>
    <x v="1"/>
    <x v="3"/>
    <x v="1"/>
    <n v="297.08"/>
    <n v="13071.52"/>
    <n v="6470.64"/>
    <n v="6600.88"/>
    <x v="0"/>
    <n v="4.5"/>
  </r>
  <r>
    <s v="ORD-1255"/>
    <x v="168"/>
    <x v="2"/>
    <s v="Running Shoes"/>
    <x v="0"/>
    <x v="0"/>
    <x v="30"/>
    <n v="196.2"/>
    <n v="1962"/>
    <n v="1169.3"/>
    <n v="792.7"/>
    <x v="0"/>
    <n v="3.3"/>
  </r>
  <r>
    <s v="ORD-1256"/>
    <x v="169"/>
    <x v="2"/>
    <s v="Summer Dress"/>
    <x v="2"/>
    <x v="3"/>
    <x v="12"/>
    <n v="227.92"/>
    <n v="4558.3999999999996"/>
    <n v="2690.99"/>
    <n v="1867.41"/>
    <x v="0"/>
    <n v="3.2"/>
  </r>
  <r>
    <s v="ORD-1257"/>
    <x v="170"/>
    <x v="7"/>
    <s v="Building Blocks"/>
    <x v="1"/>
    <x v="2"/>
    <x v="44"/>
    <n v="53.91"/>
    <n v="107.82"/>
    <n v="58.07"/>
    <n v="49.75"/>
    <x v="0"/>
    <n v="4.2"/>
  </r>
  <r>
    <s v="ORD-1258"/>
    <x v="171"/>
    <x v="7"/>
    <s v="Stuffed Animal"/>
    <x v="3"/>
    <x v="4"/>
    <x v="24"/>
    <n v="51.5"/>
    <n v="2575"/>
    <n v="1610.11"/>
    <n v="964.89"/>
    <x v="0"/>
    <n v="4.8"/>
  </r>
  <r>
    <s v="ORD-1259"/>
    <x v="172"/>
    <x v="7"/>
    <s v="Puzzle Set"/>
    <x v="3"/>
    <x v="2"/>
    <x v="43"/>
    <n v="141.77000000000001"/>
    <n v="1275.93"/>
    <n v="595.99"/>
    <n v="679.94"/>
    <x v="0"/>
    <n v="3.3"/>
  </r>
  <r>
    <s v="ORD-1260"/>
    <x v="173"/>
    <x v="4"/>
    <s v="Moisturizer"/>
    <x v="0"/>
    <x v="4"/>
    <x v="11"/>
    <n v="186.95"/>
    <n v="934.75"/>
    <n v="594.54999999999995"/>
    <n v="340.2"/>
    <x v="0"/>
    <n v="4.4000000000000004"/>
  </r>
  <r>
    <s v="ORD-1261"/>
    <x v="169"/>
    <x v="0"/>
    <s v="Organic Coffee"/>
    <x v="4"/>
    <x v="2"/>
    <x v="43"/>
    <n v="159.28"/>
    <n v="1433.52"/>
    <n v="913.45"/>
    <n v="520.07000000000005"/>
    <x v="0"/>
    <n v="3.7"/>
  </r>
  <r>
    <s v="ORD-1262"/>
    <x v="173"/>
    <x v="6"/>
    <s v="Children's Book"/>
    <x v="4"/>
    <x v="3"/>
    <x v="41"/>
    <n v="221"/>
    <n v="4862"/>
    <n v="2945.81"/>
    <n v="1916.19"/>
    <x v="0"/>
    <n v="4.3"/>
  </r>
  <r>
    <s v="ORD-1263"/>
    <x v="174"/>
    <x v="1"/>
    <s v="Gym Gloves"/>
    <x v="0"/>
    <x v="4"/>
    <x v="21"/>
    <n v="97.04"/>
    <n v="2037.84"/>
    <n v="1018.02"/>
    <n v="1019.82"/>
    <x v="0"/>
    <n v="3.6"/>
  </r>
  <r>
    <s v="ORD-1264"/>
    <x v="175"/>
    <x v="6"/>
    <s v="Children's Book"/>
    <x v="4"/>
    <x v="3"/>
    <x v="33"/>
    <n v="410.08"/>
    <n v="7381.44"/>
    <n v="3677.68"/>
    <n v="3703.76"/>
    <x v="0"/>
    <n v="3.2"/>
  </r>
  <r>
    <s v="ORD-1265"/>
    <x v="176"/>
    <x v="3"/>
    <s v="Desk Organizer"/>
    <x v="0"/>
    <x v="0"/>
    <x v="44"/>
    <n v="476.97"/>
    <n v="953.94"/>
    <n v="491.67"/>
    <n v="462.27"/>
    <x v="0"/>
    <n v="4.4000000000000004"/>
  </r>
  <r>
    <s v="ORD-1266"/>
    <x v="177"/>
    <x v="2"/>
    <s v="Casual T-Shirt"/>
    <x v="3"/>
    <x v="2"/>
    <x v="1"/>
    <n v="254.66"/>
    <n v="11205.04"/>
    <n v="6256.15"/>
    <n v="4948.8900000000003"/>
    <x v="0"/>
    <n v="3.5"/>
  </r>
  <r>
    <s v="ORD-1267"/>
    <x v="178"/>
    <x v="2"/>
    <s v="Casual T-Shirt"/>
    <x v="0"/>
    <x v="4"/>
    <x v="8"/>
    <n v="244.83"/>
    <n v="9548.3700000000008"/>
    <n v="4776.1099999999997"/>
    <n v="4772.26"/>
    <x v="0"/>
    <n v="4"/>
  </r>
  <r>
    <s v="ORD-1268"/>
    <x v="179"/>
    <x v="6"/>
    <s v="Art Journal"/>
    <x v="1"/>
    <x v="3"/>
    <x v="8"/>
    <n v="322.70999999999998"/>
    <n v="12585.69"/>
    <n v="5301.67"/>
    <n v="7284.02"/>
    <x v="0"/>
    <n v="4.5"/>
  </r>
  <r>
    <s v="ORD-1269"/>
    <x v="165"/>
    <x v="5"/>
    <s v="Webcam"/>
    <x v="0"/>
    <x v="1"/>
    <x v="3"/>
    <n v="341.96"/>
    <n v="14362.32"/>
    <n v="7179.79"/>
    <n v="7182.53"/>
    <x v="0"/>
    <n v="4.5"/>
  </r>
  <r>
    <s v="ORD-1270"/>
    <x v="179"/>
    <x v="4"/>
    <s v="Lip Gloss Set"/>
    <x v="3"/>
    <x v="2"/>
    <x v="7"/>
    <n v="375.96"/>
    <n v="12406.68"/>
    <n v="6693.38"/>
    <n v="5713.3"/>
    <x v="0"/>
    <n v="4.4000000000000004"/>
  </r>
  <r>
    <s v="ORD-1271"/>
    <x v="180"/>
    <x v="0"/>
    <s v="Granola Mix"/>
    <x v="2"/>
    <x v="0"/>
    <x v="22"/>
    <n v="255.23"/>
    <n v="11485.35"/>
    <n v="5584.66"/>
    <n v="5900.69"/>
    <x v="0"/>
    <n v="3"/>
  </r>
  <r>
    <s v="ORD-1272"/>
    <x v="181"/>
    <x v="2"/>
    <s v="Summer Dress"/>
    <x v="3"/>
    <x v="4"/>
    <x v="46"/>
    <n v="79.42"/>
    <n v="3732.74"/>
    <n v="1784.15"/>
    <n v="1948.59"/>
    <x v="0"/>
    <n v="3.9"/>
  </r>
  <r>
    <s v="ORD-1273"/>
    <x v="181"/>
    <x v="0"/>
    <s v="Organic Coffee"/>
    <x v="2"/>
    <x v="1"/>
    <x v="2"/>
    <n v="363.78"/>
    <n v="10549.62"/>
    <n v="5413.13"/>
    <n v="5136.49"/>
    <x v="0"/>
    <n v="3.1"/>
  </r>
  <r>
    <s v="ORD-1274"/>
    <x v="182"/>
    <x v="6"/>
    <s v="Self-Help Guide"/>
    <x v="4"/>
    <x v="3"/>
    <x v="1"/>
    <n v="402.02"/>
    <n v="17688.88"/>
    <n v="11187.87"/>
    <n v="6501.01"/>
    <x v="0"/>
    <n v="4.5"/>
  </r>
  <r>
    <s v="ORD-1275"/>
    <x v="183"/>
    <x v="6"/>
    <s v="Art Journal"/>
    <x v="3"/>
    <x v="3"/>
    <x v="5"/>
    <n v="479.65"/>
    <n v="13430.2"/>
    <n v="6150.55"/>
    <n v="7279.65"/>
    <x v="0"/>
    <n v="3.8"/>
  </r>
  <r>
    <s v="ORD-1276"/>
    <x v="184"/>
    <x v="7"/>
    <s v="Stuffed Animal"/>
    <x v="0"/>
    <x v="2"/>
    <x v="44"/>
    <n v="371.32"/>
    <n v="742.64"/>
    <n v="461.01"/>
    <n v="281.63"/>
    <x v="0"/>
    <n v="3.9"/>
  </r>
  <r>
    <s v="ORD-1277"/>
    <x v="185"/>
    <x v="1"/>
    <s v="Resistance Bands"/>
    <x v="2"/>
    <x v="4"/>
    <x v="33"/>
    <n v="378.64"/>
    <n v="6815.52"/>
    <n v="4104.1899999999996"/>
    <n v="2711.33"/>
    <x v="0"/>
    <n v="3.1"/>
  </r>
  <r>
    <s v="ORD-1278"/>
    <x v="186"/>
    <x v="6"/>
    <s v="Cookbook"/>
    <x v="1"/>
    <x v="4"/>
    <x v="10"/>
    <n v="65.84"/>
    <n v="1975.2"/>
    <n v="1121.27"/>
    <n v="853.93"/>
    <x v="0"/>
    <n v="4"/>
  </r>
  <r>
    <s v="ORD-1279"/>
    <x v="187"/>
    <x v="7"/>
    <s v="Board Game"/>
    <x v="1"/>
    <x v="4"/>
    <x v="47"/>
    <n v="180.48"/>
    <n v="1443.84"/>
    <n v="882.73"/>
    <n v="561.11"/>
    <x v="0"/>
    <n v="4.2"/>
  </r>
  <r>
    <s v="ORD-1280"/>
    <x v="185"/>
    <x v="3"/>
    <s v="Throw Pillow"/>
    <x v="3"/>
    <x v="4"/>
    <x v="47"/>
    <n v="126.9"/>
    <n v="1015.2"/>
    <n v="435.76"/>
    <n v="579.44000000000005"/>
    <x v="0"/>
    <n v="3.7"/>
  </r>
  <r>
    <s v="ORD-1281"/>
    <x v="187"/>
    <x v="3"/>
    <s v="Desk Organizer"/>
    <x v="3"/>
    <x v="4"/>
    <x v="40"/>
    <n v="217.29"/>
    <n v="5432.25"/>
    <n v="2833.83"/>
    <n v="2598.42"/>
    <x v="0"/>
    <n v="4.0999999999999996"/>
  </r>
  <r>
    <s v="ORD-1282"/>
    <x v="188"/>
    <x v="4"/>
    <s v="Lip Gloss Set"/>
    <x v="1"/>
    <x v="1"/>
    <x v="18"/>
    <n v="164.14"/>
    <n v="1969.68"/>
    <n v="1009.95"/>
    <n v="959.73"/>
    <x v="0"/>
    <n v="3.1"/>
  </r>
  <r>
    <s v="ORD-1283"/>
    <x v="189"/>
    <x v="1"/>
    <s v="Gym Gloves"/>
    <x v="0"/>
    <x v="2"/>
    <x v="16"/>
    <n v="257.66000000000003"/>
    <n v="9275.76"/>
    <n v="4858.1099999999997"/>
    <n v="4417.6499999999996"/>
    <x v="0"/>
    <n v="4.4000000000000004"/>
  </r>
  <r>
    <s v="ORD-1284"/>
    <x v="190"/>
    <x v="2"/>
    <s v="Yoga Pants"/>
    <x v="3"/>
    <x v="4"/>
    <x v="44"/>
    <n v="399.98"/>
    <n v="799.96"/>
    <n v="364.09"/>
    <n v="435.87"/>
    <x v="0"/>
    <n v="3.1"/>
  </r>
  <r>
    <s v="ORD-1285"/>
    <x v="191"/>
    <x v="0"/>
    <s v="Granola Mix"/>
    <x v="4"/>
    <x v="1"/>
    <x v="42"/>
    <n v="388.55"/>
    <n v="18650.400000000001"/>
    <n v="9769.61"/>
    <n v="8880.7900000000009"/>
    <x v="0"/>
    <n v="4"/>
  </r>
  <r>
    <s v="ORD-1286"/>
    <x v="192"/>
    <x v="6"/>
    <s v="Art Journal"/>
    <x v="0"/>
    <x v="1"/>
    <x v="23"/>
    <n v="30.39"/>
    <n v="1489.11"/>
    <n v="863.3"/>
    <n v="625.80999999999995"/>
    <x v="0"/>
    <n v="4.0999999999999996"/>
  </r>
  <r>
    <s v="ORD-1287"/>
    <x v="187"/>
    <x v="1"/>
    <s v="Water Bottle"/>
    <x v="0"/>
    <x v="1"/>
    <x v="37"/>
    <n v="230.37"/>
    <n v="691.11"/>
    <n v="336.67"/>
    <n v="354.44"/>
    <x v="0"/>
    <n v="4.5999999999999996"/>
  </r>
  <r>
    <s v="ORD-1288"/>
    <x v="189"/>
    <x v="1"/>
    <s v="Resistance Bands"/>
    <x v="0"/>
    <x v="3"/>
    <x v="42"/>
    <n v="298.08"/>
    <n v="14307.84"/>
    <n v="6977.33"/>
    <n v="7330.51"/>
    <x v="0"/>
    <n v="4.4000000000000004"/>
  </r>
  <r>
    <s v="ORD-1289"/>
    <x v="192"/>
    <x v="1"/>
    <s v="Resistance Bands"/>
    <x v="3"/>
    <x v="0"/>
    <x v="36"/>
    <n v="289.33999999999997"/>
    <n v="1157.3599999999999"/>
    <n v="616.95000000000005"/>
    <n v="540.41"/>
    <x v="2"/>
    <n v="4.2"/>
  </r>
  <r>
    <s v="ORD-1290"/>
    <x v="193"/>
    <x v="4"/>
    <s v="Eyeshadow Palette"/>
    <x v="2"/>
    <x v="3"/>
    <x v="31"/>
    <n v="141"/>
    <n v="5217"/>
    <n v="3205.87"/>
    <n v="2011.13"/>
    <x v="2"/>
    <n v="5"/>
  </r>
  <r>
    <s v="ORD-1291"/>
    <x v="194"/>
    <x v="7"/>
    <s v="Building Blocks"/>
    <x v="3"/>
    <x v="3"/>
    <x v="33"/>
    <n v="434.85"/>
    <n v="7827.3"/>
    <n v="3379.22"/>
    <n v="4448.08"/>
    <x v="0"/>
    <n v="4.7"/>
  </r>
  <r>
    <s v="ORD-1292"/>
    <x v="189"/>
    <x v="1"/>
    <s v="Gym Gloves"/>
    <x v="0"/>
    <x v="2"/>
    <x v="49"/>
    <n v="79.66"/>
    <n v="2549.12"/>
    <n v="1422.67"/>
    <n v="1126.45"/>
    <x v="0"/>
    <n v="4.3"/>
  </r>
  <r>
    <s v="ORD-1293"/>
    <x v="195"/>
    <x v="2"/>
    <s v="Casual T-Shirt"/>
    <x v="0"/>
    <x v="2"/>
    <x v="7"/>
    <n v="377.4"/>
    <n v="12454.2"/>
    <n v="7144.67"/>
    <n v="5309.53"/>
    <x v="0"/>
    <n v="4.8"/>
  </r>
  <r>
    <s v="ORD-1294"/>
    <x v="187"/>
    <x v="5"/>
    <s v="Wireless Headphones"/>
    <x v="2"/>
    <x v="4"/>
    <x v="46"/>
    <n v="486.35"/>
    <n v="22858.45"/>
    <n v="12771.25"/>
    <n v="10087.200000000001"/>
    <x v="0"/>
    <n v="4.4000000000000004"/>
  </r>
  <r>
    <s v="ORD-1295"/>
    <x v="196"/>
    <x v="7"/>
    <s v="Puzzle Set"/>
    <x v="4"/>
    <x v="3"/>
    <x v="49"/>
    <n v="141.58000000000001"/>
    <n v="4530.5600000000004"/>
    <n v="2750.44"/>
    <n v="1780.12"/>
    <x v="0"/>
    <n v="3.7"/>
  </r>
  <r>
    <s v="ORD-1296"/>
    <x v="197"/>
    <x v="0"/>
    <s v="Honey Jar"/>
    <x v="0"/>
    <x v="1"/>
    <x v="1"/>
    <n v="383.5"/>
    <n v="16874"/>
    <n v="6943.41"/>
    <n v="9930.59"/>
    <x v="0"/>
    <n v="4.3"/>
  </r>
  <r>
    <s v="ORD-1297"/>
    <x v="198"/>
    <x v="3"/>
    <s v="Wall Clock"/>
    <x v="3"/>
    <x v="0"/>
    <x v="10"/>
    <n v="10.33"/>
    <n v="309.89999999999998"/>
    <n v="198.18"/>
    <n v="111.72"/>
    <x v="0"/>
    <n v="3.4"/>
  </r>
  <r>
    <s v="ORD-1298"/>
    <x v="199"/>
    <x v="4"/>
    <s v="Face Serum"/>
    <x v="3"/>
    <x v="1"/>
    <x v="3"/>
    <n v="186.61"/>
    <n v="7837.62"/>
    <n v="3296.54"/>
    <n v="4541.08"/>
    <x v="0"/>
    <n v="4.3"/>
  </r>
  <r>
    <s v="ORD-1299"/>
    <x v="186"/>
    <x v="4"/>
    <s v="Lip Gloss Set"/>
    <x v="0"/>
    <x v="1"/>
    <x v="5"/>
    <n v="331.19"/>
    <n v="9273.32"/>
    <n v="5340.73"/>
    <n v="3932.59"/>
    <x v="0"/>
    <n v="3"/>
  </r>
  <r>
    <s v="ORD-1300"/>
    <x v="200"/>
    <x v="1"/>
    <s v="Jump Rope"/>
    <x v="2"/>
    <x v="2"/>
    <x v="1"/>
    <n v="228.08"/>
    <n v="10035.52"/>
    <n v="4034.44"/>
    <n v="6001.08"/>
    <x v="0"/>
    <n v="3.7"/>
  </r>
  <r>
    <s v="ORD-1301"/>
    <x v="201"/>
    <x v="0"/>
    <s v="Organic Coffee"/>
    <x v="1"/>
    <x v="0"/>
    <x v="28"/>
    <n v="197.7"/>
    <n v="2965.5"/>
    <n v="1727.97"/>
    <n v="1237.53"/>
    <x v="1"/>
    <n v="3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B2337-023C-4DBB-8680-25F157718329}" name="TablaDinámica8" cacheId="1" applyNumberFormats="0" applyBorderFormats="0" applyFontFormats="0" applyPatternFormats="0" applyAlignmentFormats="0" applyWidthHeightFormats="1" dataCaption="Valores" updatedVersion="6" minRefreshableVersion="5" useAutoFormatting="1" itemPrintTitles="1" createdVersion="8" indent="0" outline="1" outlineData="1" multipleFieldFilters="0" chartFormat="6">
  <location ref="A37:B50" firstHeaderRow="1" firstDataRow="1" firstDataCol="1"/>
  <pivotFields count="15">
    <pivotField showAll="0"/>
    <pivotField numFmtId="14" showAll="0">
      <items count="203">
        <item x="2"/>
        <item x="12"/>
        <item x="9"/>
        <item x="1"/>
        <item x="6"/>
        <item x="13"/>
        <item x="5"/>
        <item x="4"/>
        <item x="11"/>
        <item x="14"/>
        <item x="8"/>
        <item x="10"/>
        <item x="15"/>
        <item x="0"/>
        <item x="7"/>
        <item x="3"/>
        <item x="27"/>
        <item x="32"/>
        <item x="31"/>
        <item x="29"/>
        <item x="16"/>
        <item x="21"/>
        <item x="24"/>
        <item x="30"/>
        <item x="20"/>
        <item x="22"/>
        <item x="19"/>
        <item x="23"/>
        <item x="18"/>
        <item x="17"/>
        <item x="28"/>
        <item x="25"/>
        <item x="26"/>
        <item x="41"/>
        <item x="33"/>
        <item x="35"/>
        <item x="49"/>
        <item x="39"/>
        <item x="45"/>
        <item x="36"/>
        <item x="34"/>
        <item x="43"/>
        <item x="44"/>
        <item x="48"/>
        <item x="38"/>
        <item x="47"/>
        <item x="42"/>
        <item x="40"/>
        <item x="46"/>
        <item x="37"/>
        <item x="52"/>
        <item x="51"/>
        <item x="58"/>
        <item x="65"/>
        <item x="66"/>
        <item x="54"/>
        <item x="60"/>
        <item x="56"/>
        <item x="64"/>
        <item x="59"/>
        <item x="61"/>
        <item x="62"/>
        <item x="53"/>
        <item x="50"/>
        <item x="55"/>
        <item x="63"/>
        <item x="57"/>
        <item x="82"/>
        <item x="69"/>
        <item x="71"/>
        <item x="74"/>
        <item x="77"/>
        <item x="79"/>
        <item x="76"/>
        <item x="75"/>
        <item x="72"/>
        <item x="70"/>
        <item x="68"/>
        <item x="67"/>
        <item x="78"/>
        <item x="73"/>
        <item x="81"/>
        <item x="80"/>
        <item x="83"/>
        <item x="88"/>
        <item x="95"/>
        <item x="89"/>
        <item x="96"/>
        <item x="87"/>
        <item x="85"/>
        <item x="86"/>
        <item x="94"/>
        <item x="93"/>
        <item x="98"/>
        <item x="90"/>
        <item x="92"/>
        <item x="91"/>
        <item x="97"/>
        <item x="84"/>
        <item x="109"/>
        <item x="107"/>
        <item x="111"/>
        <item x="104"/>
        <item x="113"/>
        <item x="103"/>
        <item x="102"/>
        <item x="101"/>
        <item x="100"/>
        <item x="106"/>
        <item x="105"/>
        <item x="99"/>
        <item x="116"/>
        <item x="112"/>
        <item x="115"/>
        <item x="108"/>
        <item x="114"/>
        <item x="110"/>
        <item x="122"/>
        <item x="125"/>
        <item x="131"/>
        <item x="119"/>
        <item x="129"/>
        <item x="128"/>
        <item x="130"/>
        <item x="117"/>
        <item x="118"/>
        <item x="120"/>
        <item x="127"/>
        <item x="123"/>
        <item x="124"/>
        <item x="126"/>
        <item x="121"/>
        <item x="145"/>
        <item x="135"/>
        <item x="142"/>
        <item x="134"/>
        <item x="141"/>
        <item x="138"/>
        <item x="146"/>
        <item x="143"/>
        <item x="147"/>
        <item x="132"/>
        <item x="144"/>
        <item x="140"/>
        <item x="137"/>
        <item x="133"/>
        <item x="139"/>
        <item x="136"/>
        <item x="154"/>
        <item x="156"/>
        <item x="148"/>
        <item x="161"/>
        <item x="163"/>
        <item x="153"/>
        <item x="164"/>
        <item x="152"/>
        <item x="149"/>
        <item x="158"/>
        <item x="160"/>
        <item x="155"/>
        <item x="162"/>
        <item x="157"/>
        <item x="159"/>
        <item x="151"/>
        <item x="150"/>
        <item x="184"/>
        <item x="182"/>
        <item x="180"/>
        <item x="169"/>
        <item x="181"/>
        <item x="174"/>
        <item x="183"/>
        <item x="178"/>
        <item x="175"/>
        <item x="168"/>
        <item x="179"/>
        <item x="165"/>
        <item x="170"/>
        <item x="167"/>
        <item x="177"/>
        <item x="176"/>
        <item x="173"/>
        <item x="172"/>
        <item x="171"/>
        <item x="166"/>
        <item x="188"/>
        <item x="192"/>
        <item x="189"/>
        <item x="200"/>
        <item x="199"/>
        <item x="187"/>
        <item x="196"/>
        <item x="194"/>
        <item x="198"/>
        <item x="195"/>
        <item x="186"/>
        <item x="185"/>
        <item x="191"/>
        <item x="197"/>
        <item x="190"/>
        <item x="201"/>
        <item x="193"/>
        <item t="default"/>
      </items>
    </pivotField>
    <pivotField showAll="0">
      <items count="9">
        <item x="4"/>
        <item x="6"/>
        <item x="2"/>
        <item x="5"/>
        <item x="0"/>
        <item x="3"/>
        <item x="1"/>
        <item x="7"/>
        <item t="default"/>
      </items>
    </pivotField>
    <pivotField showAll="0"/>
    <pivotField showAll="0">
      <items count="6">
        <item x="4"/>
        <item x="1"/>
        <item x="2"/>
        <item x="3"/>
        <item x="0"/>
        <item t="default"/>
      </items>
    </pivotField>
    <pivotField showAll="0">
      <items count="6">
        <item x="4"/>
        <item x="0"/>
        <item x="3"/>
        <item x="2"/>
        <item x="1"/>
        <item t="default"/>
      </items>
    </pivotField>
    <pivotField dataField="1" showAll="0">
      <items count="51">
        <item x="34"/>
        <item x="44"/>
        <item x="37"/>
        <item x="36"/>
        <item x="11"/>
        <item x="38"/>
        <item x="48"/>
        <item x="47"/>
        <item x="43"/>
        <item x="30"/>
        <item x="19"/>
        <item x="18"/>
        <item x="39"/>
        <item x="35"/>
        <item x="28"/>
        <item x="45"/>
        <item x="26"/>
        <item x="33"/>
        <item x="13"/>
        <item x="12"/>
        <item x="21"/>
        <item x="41"/>
        <item x="17"/>
        <item x="32"/>
        <item x="40"/>
        <item x="4"/>
        <item x="27"/>
        <item x="5"/>
        <item x="2"/>
        <item x="10"/>
        <item x="0"/>
        <item x="49"/>
        <item x="7"/>
        <item x="20"/>
        <item x="29"/>
        <item x="16"/>
        <item x="31"/>
        <item x="6"/>
        <item x="8"/>
        <item x="25"/>
        <item x="14"/>
        <item x="3"/>
        <item x="9"/>
        <item x="1"/>
        <item x="22"/>
        <item x="15"/>
        <item x="46"/>
        <item x="42"/>
        <item x="23"/>
        <item x="24"/>
        <item t="default"/>
      </items>
    </pivotField>
    <pivotField numFmtId="4" showAll="0"/>
    <pivotField numFmtId="4" showAll="0"/>
    <pivotField numFmtId="4" showAll="0"/>
    <pivotField numFmtId="4" showAll="0"/>
    <pivotField showAll="0"/>
    <pivotField showAll="0"/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Units" fld="6" baseField="0" baseItem="0"/>
  </dataFields>
  <formats count="1">
    <format dxfId="1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F61DF-68AD-4043-8323-0B71912AA976}" name="TablaDinámica7" cacheId="1" applyNumberFormats="0" applyBorderFormats="0" applyFontFormats="0" applyPatternFormats="0" applyAlignmentFormats="0" applyWidthHeightFormats="1" dataCaption="Valores" updatedVersion="6" minRefreshableVersion="5" useAutoFormatting="1" itemPrintTitles="1" createdVersion="8" indent="0" outline="1" outlineData="1" multipleFieldFilters="0" chartFormat="7">
  <location ref="A28:B34" firstHeaderRow="1" firstDataRow="1" firstDataCol="1"/>
  <pivotFields count="15">
    <pivotField showAll="0"/>
    <pivotField numFmtId="14" showAll="0">
      <items count="203">
        <item x="2"/>
        <item x="12"/>
        <item x="9"/>
        <item x="1"/>
        <item x="6"/>
        <item x="13"/>
        <item x="5"/>
        <item x="4"/>
        <item x="11"/>
        <item x="14"/>
        <item x="8"/>
        <item x="10"/>
        <item x="15"/>
        <item x="0"/>
        <item x="7"/>
        <item x="3"/>
        <item x="27"/>
        <item x="32"/>
        <item x="31"/>
        <item x="29"/>
        <item x="16"/>
        <item x="21"/>
        <item x="24"/>
        <item x="30"/>
        <item x="20"/>
        <item x="22"/>
        <item x="19"/>
        <item x="23"/>
        <item x="18"/>
        <item x="17"/>
        <item x="28"/>
        <item x="25"/>
        <item x="26"/>
        <item x="41"/>
        <item x="33"/>
        <item x="35"/>
        <item x="49"/>
        <item x="39"/>
        <item x="45"/>
        <item x="36"/>
        <item x="34"/>
        <item x="43"/>
        <item x="44"/>
        <item x="48"/>
        <item x="38"/>
        <item x="47"/>
        <item x="42"/>
        <item x="40"/>
        <item x="46"/>
        <item x="37"/>
        <item x="52"/>
        <item x="51"/>
        <item x="58"/>
        <item x="65"/>
        <item x="66"/>
        <item x="54"/>
        <item x="60"/>
        <item x="56"/>
        <item x="64"/>
        <item x="59"/>
        <item x="61"/>
        <item x="62"/>
        <item x="53"/>
        <item x="50"/>
        <item x="55"/>
        <item x="63"/>
        <item x="57"/>
        <item x="82"/>
        <item x="69"/>
        <item x="71"/>
        <item x="74"/>
        <item x="77"/>
        <item x="79"/>
        <item x="76"/>
        <item x="75"/>
        <item x="72"/>
        <item x="70"/>
        <item x="68"/>
        <item x="67"/>
        <item x="78"/>
        <item x="73"/>
        <item x="81"/>
        <item x="80"/>
        <item x="83"/>
        <item x="88"/>
        <item x="95"/>
        <item x="89"/>
        <item x="96"/>
        <item x="87"/>
        <item x="85"/>
        <item x="86"/>
        <item x="94"/>
        <item x="93"/>
        <item x="98"/>
        <item x="90"/>
        <item x="92"/>
        <item x="91"/>
        <item x="97"/>
        <item x="84"/>
        <item x="109"/>
        <item x="107"/>
        <item x="111"/>
        <item x="104"/>
        <item x="113"/>
        <item x="103"/>
        <item x="102"/>
        <item x="101"/>
        <item x="100"/>
        <item x="106"/>
        <item x="105"/>
        <item x="99"/>
        <item x="116"/>
        <item x="112"/>
        <item x="115"/>
        <item x="108"/>
        <item x="114"/>
        <item x="110"/>
        <item x="122"/>
        <item x="125"/>
        <item x="131"/>
        <item x="119"/>
        <item x="129"/>
        <item x="128"/>
        <item x="130"/>
        <item x="117"/>
        <item x="118"/>
        <item x="120"/>
        <item x="127"/>
        <item x="123"/>
        <item x="124"/>
        <item x="126"/>
        <item x="121"/>
        <item x="145"/>
        <item x="135"/>
        <item x="142"/>
        <item x="134"/>
        <item x="141"/>
        <item x="138"/>
        <item x="146"/>
        <item x="143"/>
        <item x="147"/>
        <item x="132"/>
        <item x="144"/>
        <item x="140"/>
        <item x="137"/>
        <item x="133"/>
        <item x="139"/>
        <item x="136"/>
        <item x="154"/>
        <item x="156"/>
        <item x="148"/>
        <item x="161"/>
        <item x="163"/>
        <item x="153"/>
        <item x="164"/>
        <item x="152"/>
        <item x="149"/>
        <item x="158"/>
        <item x="160"/>
        <item x="155"/>
        <item x="162"/>
        <item x="157"/>
        <item x="159"/>
        <item x="151"/>
        <item x="150"/>
        <item x="184"/>
        <item x="182"/>
        <item x="180"/>
        <item x="169"/>
        <item x="181"/>
        <item x="174"/>
        <item x="183"/>
        <item x="178"/>
        <item x="175"/>
        <item x="168"/>
        <item x="179"/>
        <item x="165"/>
        <item x="170"/>
        <item x="167"/>
        <item x="177"/>
        <item x="176"/>
        <item x="173"/>
        <item x="172"/>
        <item x="171"/>
        <item x="166"/>
        <item x="188"/>
        <item x="192"/>
        <item x="189"/>
        <item x="200"/>
        <item x="199"/>
        <item x="187"/>
        <item x="196"/>
        <item x="194"/>
        <item x="198"/>
        <item x="195"/>
        <item x="186"/>
        <item x="185"/>
        <item x="191"/>
        <item x="197"/>
        <item x="190"/>
        <item x="201"/>
        <item x="193"/>
        <item t="default"/>
      </items>
    </pivotField>
    <pivotField showAll="0">
      <items count="9">
        <item x="4"/>
        <item x="6"/>
        <item x="2"/>
        <item x="5"/>
        <item x="0"/>
        <item x="3"/>
        <item x="1"/>
        <item x="7"/>
        <item t="default"/>
      </items>
    </pivotField>
    <pivotField showAll="0"/>
    <pivotField showAll="0"/>
    <pivotField axis="axisRow" showAll="0">
      <items count="6">
        <item x="4"/>
        <item x="0"/>
        <item x="3"/>
        <item x="2"/>
        <item x="1"/>
        <item t="default"/>
      </items>
    </pivotField>
    <pivotField showAll="0"/>
    <pivotField numFmtId="4" showAll="0"/>
    <pivotField dataField="1" numFmtId="4" showAll="0"/>
    <pivotField numFmtId="4" showAll="0"/>
    <pivotField numFmtId="4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Revenue" fld="8" baseField="0" baseItem="0" numFmtId="166"/>
  </dataFields>
  <formats count="1">
    <format dxfId="2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591A0-2D81-4395-AEF4-0B24B465F9B5}" name="TablaDinámica1" cacheId="1" applyNumberFormats="0" applyBorderFormats="0" applyFontFormats="0" applyPatternFormats="0" applyAlignmentFormats="0" applyWidthHeightFormats="1" dataCaption="Valores" updatedVersion="6" minRefreshableVersion="5" useAutoFormatting="1" itemPrintTitles="1" createdVersion="8" indent="0" outline="1" outlineData="1" multipleFieldFilters="0">
  <location ref="F3:F4" firstHeaderRow="1" firstDataRow="1" firstDataCol="0"/>
  <pivotFields count="15">
    <pivotField showAll="0"/>
    <pivotField showAll="0">
      <items count="203">
        <item x="2"/>
        <item x="12"/>
        <item x="9"/>
        <item x="1"/>
        <item x="6"/>
        <item x="13"/>
        <item x="5"/>
        <item x="4"/>
        <item x="11"/>
        <item x="14"/>
        <item x="8"/>
        <item x="10"/>
        <item x="15"/>
        <item x="0"/>
        <item x="7"/>
        <item x="3"/>
        <item x="27"/>
        <item x="32"/>
        <item x="31"/>
        <item x="29"/>
        <item x="16"/>
        <item x="21"/>
        <item x="24"/>
        <item x="30"/>
        <item x="20"/>
        <item x="22"/>
        <item x="19"/>
        <item x="23"/>
        <item x="18"/>
        <item x="17"/>
        <item x="28"/>
        <item x="25"/>
        <item x="26"/>
        <item x="41"/>
        <item x="33"/>
        <item x="35"/>
        <item x="49"/>
        <item x="39"/>
        <item x="45"/>
        <item x="36"/>
        <item x="34"/>
        <item x="43"/>
        <item x="44"/>
        <item x="48"/>
        <item x="38"/>
        <item x="47"/>
        <item x="42"/>
        <item x="40"/>
        <item x="46"/>
        <item x="37"/>
        <item x="52"/>
        <item x="51"/>
        <item x="58"/>
        <item x="65"/>
        <item x="66"/>
        <item x="54"/>
        <item x="60"/>
        <item x="56"/>
        <item x="64"/>
        <item x="59"/>
        <item x="61"/>
        <item x="62"/>
        <item x="53"/>
        <item x="50"/>
        <item x="55"/>
        <item x="63"/>
        <item x="57"/>
        <item x="82"/>
        <item x="69"/>
        <item x="71"/>
        <item x="74"/>
        <item x="77"/>
        <item x="79"/>
        <item x="76"/>
        <item x="75"/>
        <item x="72"/>
        <item x="70"/>
        <item x="68"/>
        <item x="67"/>
        <item x="78"/>
        <item x="73"/>
        <item x="81"/>
        <item x="80"/>
        <item x="83"/>
        <item x="88"/>
        <item x="95"/>
        <item x="89"/>
        <item x="96"/>
        <item x="87"/>
        <item x="85"/>
        <item x="86"/>
        <item x="94"/>
        <item x="93"/>
        <item x="98"/>
        <item x="90"/>
        <item x="92"/>
        <item x="91"/>
        <item x="97"/>
        <item x="84"/>
        <item x="109"/>
        <item x="107"/>
        <item x="111"/>
        <item x="104"/>
        <item x="113"/>
        <item x="103"/>
        <item x="102"/>
        <item x="101"/>
        <item x="100"/>
        <item x="106"/>
        <item x="105"/>
        <item x="99"/>
        <item x="116"/>
        <item x="112"/>
        <item x="115"/>
        <item x="108"/>
        <item x="114"/>
        <item x="110"/>
        <item x="122"/>
        <item x="125"/>
        <item x="131"/>
        <item x="119"/>
        <item x="129"/>
        <item x="128"/>
        <item x="130"/>
        <item x="117"/>
        <item x="118"/>
        <item x="120"/>
        <item x="127"/>
        <item x="123"/>
        <item x="124"/>
        <item x="126"/>
        <item x="121"/>
        <item x="145"/>
        <item x="135"/>
        <item x="142"/>
        <item x="134"/>
        <item x="141"/>
        <item x="138"/>
        <item x="146"/>
        <item x="143"/>
        <item x="147"/>
        <item x="132"/>
        <item x="144"/>
        <item x="140"/>
        <item x="137"/>
        <item x="133"/>
        <item x="139"/>
        <item x="136"/>
        <item x="154"/>
        <item x="156"/>
        <item x="148"/>
        <item x="161"/>
        <item x="163"/>
        <item x="153"/>
        <item x="164"/>
        <item x="152"/>
        <item x="149"/>
        <item x="158"/>
        <item x="160"/>
        <item x="155"/>
        <item x="162"/>
        <item x="157"/>
        <item x="159"/>
        <item x="151"/>
        <item x="150"/>
        <item x="184"/>
        <item x="182"/>
        <item x="180"/>
        <item x="169"/>
        <item x="181"/>
        <item x="174"/>
        <item x="183"/>
        <item x="178"/>
        <item x="175"/>
        <item x="168"/>
        <item x="179"/>
        <item x="165"/>
        <item x="170"/>
        <item x="167"/>
        <item x="177"/>
        <item x="176"/>
        <item x="173"/>
        <item x="172"/>
        <item x="171"/>
        <item x="166"/>
        <item x="188"/>
        <item x="192"/>
        <item x="189"/>
        <item x="200"/>
        <item x="199"/>
        <item x="187"/>
        <item x="196"/>
        <item x="194"/>
        <item x="198"/>
        <item x="195"/>
        <item x="186"/>
        <item x="185"/>
        <item x="191"/>
        <item x="197"/>
        <item x="190"/>
        <item x="201"/>
        <item x="193"/>
        <item t="default"/>
      </items>
    </pivotField>
    <pivotField showAll="0">
      <items count="9">
        <item x="4"/>
        <item x="6"/>
        <item x="2"/>
        <item x="5"/>
        <item x="0"/>
        <item x="3"/>
        <item x="1"/>
        <item x="7"/>
        <item t="default"/>
      </items>
    </pivotField>
    <pivotField showAll="0"/>
    <pivotField showAll="0"/>
    <pivotField showAll="0">
      <items count="6">
        <item x="4"/>
        <item x="0"/>
        <item x="3"/>
        <item x="2"/>
        <item x="1"/>
        <item t="default"/>
      </items>
    </pivotField>
    <pivotField showAll="0"/>
    <pivotField numFmtId="4" showAll="0"/>
    <pivotField dataField="1" numFmtId="4" showAll="0"/>
    <pivotField numFmtId="4" showAll="0"/>
    <pivotField numFmtId="4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a de Revenue" fld="8" baseField="0" baseItem="0" numFmtId="166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FC451-31C5-46B5-899E-B64230848216}" name="TablaDinámica3" cacheId="1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 chartFormat="3">
  <location ref="A54:B58" firstHeaderRow="1" firstDataRow="1" firstDataCol="1"/>
  <pivotFields count="15">
    <pivotField showAll="0"/>
    <pivotField numFmtId="14" showAll="0">
      <items count="203">
        <item x="2"/>
        <item x="12"/>
        <item x="9"/>
        <item x="1"/>
        <item x="6"/>
        <item x="13"/>
        <item x="5"/>
        <item x="4"/>
        <item x="11"/>
        <item x="14"/>
        <item x="8"/>
        <item x="10"/>
        <item x="15"/>
        <item x="0"/>
        <item x="7"/>
        <item x="3"/>
        <item x="27"/>
        <item x="32"/>
        <item x="31"/>
        <item x="29"/>
        <item x="16"/>
        <item x="21"/>
        <item x="24"/>
        <item x="30"/>
        <item x="20"/>
        <item x="22"/>
        <item x="19"/>
        <item x="23"/>
        <item x="18"/>
        <item x="17"/>
        <item x="28"/>
        <item x="25"/>
        <item x="26"/>
        <item x="41"/>
        <item x="33"/>
        <item x="35"/>
        <item x="49"/>
        <item x="39"/>
        <item x="45"/>
        <item x="36"/>
        <item x="34"/>
        <item x="43"/>
        <item x="44"/>
        <item x="48"/>
        <item x="38"/>
        <item x="47"/>
        <item x="42"/>
        <item x="40"/>
        <item x="46"/>
        <item x="37"/>
        <item x="52"/>
        <item x="51"/>
        <item x="58"/>
        <item x="65"/>
        <item x="66"/>
        <item x="54"/>
        <item x="60"/>
        <item x="56"/>
        <item x="64"/>
        <item x="59"/>
        <item x="61"/>
        <item x="62"/>
        <item x="53"/>
        <item x="50"/>
        <item x="55"/>
        <item x="63"/>
        <item x="57"/>
        <item x="82"/>
        <item x="69"/>
        <item x="71"/>
        <item x="74"/>
        <item x="77"/>
        <item x="79"/>
        <item x="76"/>
        <item x="75"/>
        <item x="72"/>
        <item x="70"/>
        <item x="68"/>
        <item x="67"/>
        <item x="78"/>
        <item x="73"/>
        <item x="81"/>
        <item x="80"/>
        <item x="83"/>
        <item x="88"/>
        <item x="95"/>
        <item x="89"/>
        <item x="96"/>
        <item x="87"/>
        <item x="85"/>
        <item x="86"/>
        <item x="94"/>
        <item x="93"/>
        <item x="98"/>
        <item x="90"/>
        <item x="92"/>
        <item x="91"/>
        <item x="97"/>
        <item x="84"/>
        <item x="109"/>
        <item x="107"/>
        <item x="111"/>
        <item x="104"/>
        <item x="113"/>
        <item x="103"/>
        <item x="102"/>
        <item x="101"/>
        <item x="100"/>
        <item x="106"/>
        <item x="105"/>
        <item x="99"/>
        <item x="116"/>
        <item x="112"/>
        <item x="115"/>
        <item x="108"/>
        <item x="114"/>
        <item x="110"/>
        <item x="122"/>
        <item x="125"/>
        <item x="131"/>
        <item x="119"/>
        <item x="129"/>
        <item x="128"/>
        <item x="130"/>
        <item x="117"/>
        <item x="118"/>
        <item x="120"/>
        <item x="127"/>
        <item x="123"/>
        <item x="124"/>
        <item x="126"/>
        <item x="121"/>
        <item x="145"/>
        <item x="135"/>
        <item x="142"/>
        <item x="134"/>
        <item x="141"/>
        <item x="138"/>
        <item x="146"/>
        <item x="143"/>
        <item x="147"/>
        <item x="132"/>
        <item x="144"/>
        <item x="140"/>
        <item x="137"/>
        <item x="133"/>
        <item x="139"/>
        <item x="136"/>
        <item x="154"/>
        <item x="156"/>
        <item x="148"/>
        <item x="161"/>
        <item x="163"/>
        <item x="153"/>
        <item x="164"/>
        <item x="152"/>
        <item x="149"/>
        <item x="158"/>
        <item x="160"/>
        <item x="155"/>
        <item x="162"/>
        <item x="157"/>
        <item x="159"/>
        <item x="151"/>
        <item x="150"/>
        <item x="184"/>
        <item x="182"/>
        <item x="180"/>
        <item x="169"/>
        <item x="181"/>
        <item x="174"/>
        <item x="183"/>
        <item x="178"/>
        <item x="175"/>
        <item x="168"/>
        <item x="179"/>
        <item x="165"/>
        <item x="170"/>
        <item x="167"/>
        <item x="177"/>
        <item x="176"/>
        <item x="173"/>
        <item x="172"/>
        <item x="171"/>
        <item x="166"/>
        <item x="188"/>
        <item x="192"/>
        <item x="189"/>
        <item x="200"/>
        <item x="199"/>
        <item x="187"/>
        <item x="196"/>
        <item x="194"/>
        <item x="198"/>
        <item x="195"/>
        <item x="186"/>
        <item x="185"/>
        <item x="191"/>
        <item x="197"/>
        <item x="190"/>
        <item x="201"/>
        <item x="193"/>
        <item t="default"/>
      </items>
    </pivotField>
    <pivotField showAll="0">
      <items count="9">
        <item x="4"/>
        <item x="6"/>
        <item x="2"/>
        <item x="5"/>
        <item x="0"/>
        <item x="3"/>
        <item x="1"/>
        <item x="7"/>
        <item t="default"/>
      </items>
    </pivotField>
    <pivotField showAll="0"/>
    <pivotField showAll="0"/>
    <pivotField showAll="0">
      <items count="6">
        <item x="4"/>
        <item x="0"/>
        <item x="3"/>
        <item x="2"/>
        <item x="1"/>
        <item t="default"/>
      </items>
    </pivotField>
    <pivotField showAll="0"/>
    <pivotField numFmtId="4" showAll="0"/>
    <pivotField numFmtId="4" showAll="0"/>
    <pivotField numFmtId="4" showAll="0"/>
    <pivotField numFmtId="4"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tatus" fld="11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F3F0E-FAB4-49BA-B276-FCAB1A314056}" name="TablaDinámica6" cacheId="1" applyNumberFormats="0" applyBorderFormats="0" applyFontFormats="0" applyPatternFormats="0" applyAlignmentFormats="0" applyWidthHeightFormats="1" dataCaption="Valores" updatedVersion="6" minRefreshableVersion="5" useAutoFormatting="1" itemPrintTitles="1" createdVersion="8" indent="0" outline="1" outlineData="1" multipleFieldFilters="0" chartFormat="4">
  <location ref="A17:B26" firstHeaderRow="1" firstDataRow="1" firstDataCol="1"/>
  <pivotFields count="15">
    <pivotField showAll="0"/>
    <pivotField numFmtId="14" showAll="0">
      <items count="203">
        <item x="2"/>
        <item x="12"/>
        <item x="9"/>
        <item x="1"/>
        <item x="6"/>
        <item x="13"/>
        <item x="5"/>
        <item x="4"/>
        <item x="11"/>
        <item x="14"/>
        <item x="8"/>
        <item x="10"/>
        <item x="15"/>
        <item x="0"/>
        <item x="7"/>
        <item x="3"/>
        <item x="27"/>
        <item x="32"/>
        <item x="31"/>
        <item x="29"/>
        <item x="16"/>
        <item x="21"/>
        <item x="24"/>
        <item x="30"/>
        <item x="20"/>
        <item x="22"/>
        <item x="19"/>
        <item x="23"/>
        <item x="18"/>
        <item x="17"/>
        <item x="28"/>
        <item x="25"/>
        <item x="26"/>
        <item x="41"/>
        <item x="33"/>
        <item x="35"/>
        <item x="49"/>
        <item x="39"/>
        <item x="45"/>
        <item x="36"/>
        <item x="34"/>
        <item x="43"/>
        <item x="44"/>
        <item x="48"/>
        <item x="38"/>
        <item x="47"/>
        <item x="42"/>
        <item x="40"/>
        <item x="46"/>
        <item x="37"/>
        <item x="52"/>
        <item x="51"/>
        <item x="58"/>
        <item x="65"/>
        <item x="66"/>
        <item x="54"/>
        <item x="60"/>
        <item x="56"/>
        <item x="64"/>
        <item x="59"/>
        <item x="61"/>
        <item x="62"/>
        <item x="53"/>
        <item x="50"/>
        <item x="55"/>
        <item x="63"/>
        <item x="57"/>
        <item x="82"/>
        <item x="69"/>
        <item x="71"/>
        <item x="74"/>
        <item x="77"/>
        <item x="79"/>
        <item x="76"/>
        <item x="75"/>
        <item x="72"/>
        <item x="70"/>
        <item x="68"/>
        <item x="67"/>
        <item x="78"/>
        <item x="73"/>
        <item x="81"/>
        <item x="80"/>
        <item x="83"/>
        <item x="88"/>
        <item x="95"/>
        <item x="89"/>
        <item x="96"/>
        <item x="87"/>
        <item x="85"/>
        <item x="86"/>
        <item x="94"/>
        <item x="93"/>
        <item x="98"/>
        <item x="90"/>
        <item x="92"/>
        <item x="91"/>
        <item x="97"/>
        <item x="84"/>
        <item x="109"/>
        <item x="107"/>
        <item x="111"/>
        <item x="104"/>
        <item x="113"/>
        <item x="103"/>
        <item x="102"/>
        <item x="101"/>
        <item x="100"/>
        <item x="106"/>
        <item x="105"/>
        <item x="99"/>
        <item x="116"/>
        <item x="112"/>
        <item x="115"/>
        <item x="108"/>
        <item x="114"/>
        <item x="110"/>
        <item x="122"/>
        <item x="125"/>
        <item x="131"/>
        <item x="119"/>
        <item x="129"/>
        <item x="128"/>
        <item x="130"/>
        <item x="117"/>
        <item x="118"/>
        <item x="120"/>
        <item x="127"/>
        <item x="123"/>
        <item x="124"/>
        <item x="126"/>
        <item x="121"/>
        <item x="145"/>
        <item x="135"/>
        <item x="142"/>
        <item x="134"/>
        <item x="141"/>
        <item x="138"/>
        <item x="146"/>
        <item x="143"/>
        <item x="147"/>
        <item x="132"/>
        <item x="144"/>
        <item x="140"/>
        <item x="137"/>
        <item x="133"/>
        <item x="139"/>
        <item x="136"/>
        <item x="154"/>
        <item x="156"/>
        <item x="148"/>
        <item x="161"/>
        <item x="163"/>
        <item x="153"/>
        <item x="164"/>
        <item x="152"/>
        <item x="149"/>
        <item x="158"/>
        <item x="160"/>
        <item x="155"/>
        <item x="162"/>
        <item x="157"/>
        <item x="159"/>
        <item x="151"/>
        <item x="150"/>
        <item x="184"/>
        <item x="182"/>
        <item x="180"/>
        <item x="169"/>
        <item x="181"/>
        <item x="174"/>
        <item x="183"/>
        <item x="178"/>
        <item x="175"/>
        <item x="168"/>
        <item x="179"/>
        <item x="165"/>
        <item x="170"/>
        <item x="167"/>
        <item x="177"/>
        <item x="176"/>
        <item x="173"/>
        <item x="172"/>
        <item x="171"/>
        <item x="166"/>
        <item x="188"/>
        <item x="192"/>
        <item x="189"/>
        <item x="200"/>
        <item x="199"/>
        <item x="187"/>
        <item x="196"/>
        <item x="194"/>
        <item x="198"/>
        <item x="195"/>
        <item x="186"/>
        <item x="185"/>
        <item x="191"/>
        <item x="197"/>
        <item x="190"/>
        <item x="201"/>
        <item x="193"/>
        <item t="default"/>
      </items>
    </pivotField>
    <pivotField axis="axisRow" showAll="0" sortType="ascending">
      <items count="9">
        <item x="4"/>
        <item x="6"/>
        <item x="2"/>
        <item x="5"/>
        <item x="0"/>
        <item x="3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6">
        <item x="4"/>
        <item x="0"/>
        <item x="3"/>
        <item x="2"/>
        <item x="1"/>
        <item t="default"/>
      </items>
    </pivotField>
    <pivotField showAll="0"/>
    <pivotField numFmtId="4" showAll="0"/>
    <pivotField dataField="1" numFmtId="4" showAll="0"/>
    <pivotField numFmtId="4" showAll="0"/>
    <pivotField numFmtId="4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9">
    <i>
      <x v="2"/>
    </i>
    <i>
      <x v="5"/>
    </i>
    <i>
      <x v="7"/>
    </i>
    <i>
      <x/>
    </i>
    <i>
      <x v="3"/>
    </i>
    <i>
      <x v="4"/>
    </i>
    <i>
      <x v="1"/>
    </i>
    <i>
      <x v="6"/>
    </i>
    <i t="grand">
      <x/>
    </i>
  </rowItems>
  <colItems count="1">
    <i/>
  </colItems>
  <dataFields count="1">
    <dataField name="Suma de Revenue" fld="8" baseField="0" baseItem="0" numFmtId="166"/>
  </dataFields>
  <formats count="1">
    <format dxfId="4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075FB-5AA2-47F6-8C38-002C706D8273}" name="TablaDinámica2" cacheId="1" applyNumberFormats="0" applyBorderFormats="0" applyFontFormats="0" applyPatternFormats="0" applyAlignmentFormats="0" applyWidthHeightFormats="1" dataCaption="Valores" updatedVersion="6" minRefreshableVersion="5" useAutoFormatting="1" itemPrintTitles="1" createdVersion="8" indent="0" outline="1" outlineData="1" multipleFieldFilters="0">
  <location ref="F7:F8" firstHeaderRow="1" firstDataRow="1" firstDataCol="0"/>
  <pivotFields count="15">
    <pivotField dataField="1" showAll="0"/>
    <pivotField showAll="0">
      <items count="203">
        <item x="2"/>
        <item x="12"/>
        <item x="9"/>
        <item x="1"/>
        <item x="6"/>
        <item x="13"/>
        <item x="5"/>
        <item x="4"/>
        <item x="11"/>
        <item x="14"/>
        <item x="8"/>
        <item x="10"/>
        <item x="15"/>
        <item x="0"/>
        <item x="7"/>
        <item x="3"/>
        <item x="27"/>
        <item x="32"/>
        <item x="31"/>
        <item x="29"/>
        <item x="16"/>
        <item x="21"/>
        <item x="24"/>
        <item x="30"/>
        <item x="20"/>
        <item x="22"/>
        <item x="19"/>
        <item x="23"/>
        <item x="18"/>
        <item x="17"/>
        <item x="28"/>
        <item x="25"/>
        <item x="26"/>
        <item x="41"/>
        <item x="33"/>
        <item x="35"/>
        <item x="49"/>
        <item x="39"/>
        <item x="45"/>
        <item x="36"/>
        <item x="34"/>
        <item x="43"/>
        <item x="44"/>
        <item x="48"/>
        <item x="38"/>
        <item x="47"/>
        <item x="42"/>
        <item x="40"/>
        <item x="46"/>
        <item x="37"/>
        <item x="52"/>
        <item x="51"/>
        <item x="58"/>
        <item x="65"/>
        <item x="66"/>
        <item x="54"/>
        <item x="60"/>
        <item x="56"/>
        <item x="64"/>
        <item x="59"/>
        <item x="61"/>
        <item x="62"/>
        <item x="53"/>
        <item x="50"/>
        <item x="55"/>
        <item x="63"/>
        <item x="57"/>
        <item x="82"/>
        <item x="69"/>
        <item x="71"/>
        <item x="74"/>
        <item x="77"/>
        <item x="79"/>
        <item x="76"/>
        <item x="75"/>
        <item x="72"/>
        <item x="70"/>
        <item x="68"/>
        <item x="67"/>
        <item x="78"/>
        <item x="73"/>
        <item x="81"/>
        <item x="80"/>
        <item x="83"/>
        <item x="88"/>
        <item x="95"/>
        <item x="89"/>
        <item x="96"/>
        <item x="87"/>
        <item x="85"/>
        <item x="86"/>
        <item x="94"/>
        <item x="93"/>
        <item x="98"/>
        <item x="90"/>
        <item x="92"/>
        <item x="91"/>
        <item x="97"/>
        <item x="84"/>
        <item x="109"/>
        <item x="107"/>
        <item x="111"/>
        <item x="104"/>
        <item x="113"/>
        <item x="103"/>
        <item x="102"/>
        <item x="101"/>
        <item x="100"/>
        <item x="106"/>
        <item x="105"/>
        <item x="99"/>
        <item x="116"/>
        <item x="112"/>
        <item x="115"/>
        <item x="108"/>
        <item x="114"/>
        <item x="110"/>
        <item x="122"/>
        <item x="125"/>
        <item x="131"/>
        <item x="119"/>
        <item x="129"/>
        <item x="128"/>
        <item x="130"/>
        <item x="117"/>
        <item x="118"/>
        <item x="120"/>
        <item x="127"/>
        <item x="123"/>
        <item x="124"/>
        <item x="126"/>
        <item x="121"/>
        <item x="145"/>
        <item x="135"/>
        <item x="142"/>
        <item x="134"/>
        <item x="141"/>
        <item x="138"/>
        <item x="146"/>
        <item x="143"/>
        <item x="147"/>
        <item x="132"/>
        <item x="144"/>
        <item x="140"/>
        <item x="137"/>
        <item x="133"/>
        <item x="139"/>
        <item x="136"/>
        <item x="154"/>
        <item x="156"/>
        <item x="148"/>
        <item x="161"/>
        <item x="163"/>
        <item x="153"/>
        <item x="164"/>
        <item x="152"/>
        <item x="149"/>
        <item x="158"/>
        <item x="160"/>
        <item x="155"/>
        <item x="162"/>
        <item x="157"/>
        <item x="159"/>
        <item x="151"/>
        <item x="150"/>
        <item x="184"/>
        <item x="182"/>
        <item x="180"/>
        <item x="169"/>
        <item x="181"/>
        <item x="174"/>
        <item x="183"/>
        <item x="178"/>
        <item x="175"/>
        <item x="168"/>
        <item x="179"/>
        <item x="165"/>
        <item x="170"/>
        <item x="167"/>
        <item x="177"/>
        <item x="176"/>
        <item x="173"/>
        <item x="172"/>
        <item x="171"/>
        <item x="166"/>
        <item x="188"/>
        <item x="192"/>
        <item x="189"/>
        <item x="200"/>
        <item x="199"/>
        <item x="187"/>
        <item x="196"/>
        <item x="194"/>
        <item x="198"/>
        <item x="195"/>
        <item x="186"/>
        <item x="185"/>
        <item x="191"/>
        <item x="197"/>
        <item x="190"/>
        <item x="201"/>
        <item x="193"/>
        <item t="default"/>
      </items>
    </pivotField>
    <pivotField showAll="0">
      <items count="9">
        <item x="4"/>
        <item x="6"/>
        <item x="2"/>
        <item x="5"/>
        <item x="0"/>
        <item x="3"/>
        <item x="1"/>
        <item x="7"/>
        <item t="default"/>
      </items>
    </pivotField>
    <pivotField showAll="0"/>
    <pivotField showAll="0"/>
    <pivotField showAll="0">
      <items count="6">
        <item x="4"/>
        <item x="0"/>
        <item x="3"/>
        <item x="2"/>
        <item x="1"/>
        <item t="default"/>
      </items>
    </pivotField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uenta de Order_ID" fld="0" subtotal="count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9E35B-7329-4F08-B392-DE8F1B5F400B}" name="TablaDinámica5" cacheId="1" applyNumberFormats="0" applyBorderFormats="0" applyFontFormats="0" applyPatternFormats="0" applyAlignmentFormats="0" applyWidthHeightFormats="1" dataCaption="Valores" updatedVersion="6" minRefreshableVersion="5" useAutoFormatting="1" itemPrintTitles="1" createdVersion="8" indent="0" outline="1" outlineData="1" multipleFieldFilters="0" chartFormat="6">
  <location ref="A2:B15" firstHeaderRow="1" firstDataRow="1" firstDataCol="1"/>
  <pivotFields count="15">
    <pivotField showAll="0"/>
    <pivotField showAll="0">
      <items count="203">
        <item x="2"/>
        <item x="12"/>
        <item x="9"/>
        <item x="1"/>
        <item x="6"/>
        <item x="13"/>
        <item x="5"/>
        <item x="4"/>
        <item x="11"/>
        <item x="14"/>
        <item x="8"/>
        <item x="10"/>
        <item x="15"/>
        <item x="0"/>
        <item x="7"/>
        <item x="3"/>
        <item x="27"/>
        <item x="32"/>
        <item x="31"/>
        <item x="29"/>
        <item x="16"/>
        <item x="21"/>
        <item x="24"/>
        <item x="30"/>
        <item x="20"/>
        <item x="22"/>
        <item x="19"/>
        <item x="23"/>
        <item x="18"/>
        <item x="17"/>
        <item x="28"/>
        <item x="25"/>
        <item x="26"/>
        <item x="41"/>
        <item x="33"/>
        <item x="35"/>
        <item x="49"/>
        <item x="39"/>
        <item x="45"/>
        <item x="36"/>
        <item x="34"/>
        <item x="43"/>
        <item x="44"/>
        <item x="48"/>
        <item x="38"/>
        <item x="47"/>
        <item x="42"/>
        <item x="40"/>
        <item x="46"/>
        <item x="37"/>
        <item x="52"/>
        <item x="51"/>
        <item x="58"/>
        <item x="65"/>
        <item x="66"/>
        <item x="54"/>
        <item x="60"/>
        <item x="56"/>
        <item x="64"/>
        <item x="59"/>
        <item x="61"/>
        <item x="62"/>
        <item x="53"/>
        <item x="50"/>
        <item x="55"/>
        <item x="63"/>
        <item x="57"/>
        <item x="82"/>
        <item x="69"/>
        <item x="71"/>
        <item x="74"/>
        <item x="77"/>
        <item x="79"/>
        <item x="76"/>
        <item x="75"/>
        <item x="72"/>
        <item x="70"/>
        <item x="68"/>
        <item x="67"/>
        <item x="78"/>
        <item x="73"/>
        <item x="81"/>
        <item x="80"/>
        <item x="83"/>
        <item x="88"/>
        <item x="95"/>
        <item x="89"/>
        <item x="96"/>
        <item x="87"/>
        <item x="85"/>
        <item x="86"/>
        <item x="94"/>
        <item x="93"/>
        <item x="98"/>
        <item x="90"/>
        <item x="92"/>
        <item x="91"/>
        <item x="97"/>
        <item x="84"/>
        <item x="109"/>
        <item x="107"/>
        <item x="111"/>
        <item x="104"/>
        <item x="113"/>
        <item x="103"/>
        <item x="102"/>
        <item x="101"/>
        <item x="100"/>
        <item x="106"/>
        <item x="105"/>
        <item x="99"/>
        <item x="116"/>
        <item x="112"/>
        <item x="115"/>
        <item x="108"/>
        <item x="114"/>
        <item x="110"/>
        <item x="122"/>
        <item x="125"/>
        <item x="131"/>
        <item x="119"/>
        <item x="129"/>
        <item x="128"/>
        <item x="130"/>
        <item x="117"/>
        <item x="118"/>
        <item x="120"/>
        <item x="127"/>
        <item x="123"/>
        <item x="124"/>
        <item x="126"/>
        <item x="121"/>
        <item x="145"/>
        <item x="135"/>
        <item x="142"/>
        <item x="134"/>
        <item x="141"/>
        <item x="138"/>
        <item x="146"/>
        <item x="143"/>
        <item x="147"/>
        <item x="132"/>
        <item x="144"/>
        <item x="140"/>
        <item x="137"/>
        <item x="133"/>
        <item x="139"/>
        <item x="136"/>
        <item x="154"/>
        <item x="156"/>
        <item x="148"/>
        <item x="161"/>
        <item x="163"/>
        <item x="153"/>
        <item x="164"/>
        <item x="152"/>
        <item x="149"/>
        <item x="158"/>
        <item x="160"/>
        <item x="155"/>
        <item x="162"/>
        <item x="157"/>
        <item x="159"/>
        <item x="151"/>
        <item x="150"/>
        <item x="184"/>
        <item x="182"/>
        <item x="180"/>
        <item x="169"/>
        <item x="181"/>
        <item x="174"/>
        <item x="183"/>
        <item x="178"/>
        <item x="175"/>
        <item x="168"/>
        <item x="179"/>
        <item x="165"/>
        <item x="170"/>
        <item x="167"/>
        <item x="177"/>
        <item x="176"/>
        <item x="173"/>
        <item x="172"/>
        <item x="171"/>
        <item x="166"/>
        <item x="188"/>
        <item x="192"/>
        <item x="189"/>
        <item x="200"/>
        <item x="199"/>
        <item x="187"/>
        <item x="196"/>
        <item x="194"/>
        <item x="198"/>
        <item x="195"/>
        <item x="186"/>
        <item x="185"/>
        <item x="191"/>
        <item x="197"/>
        <item x="190"/>
        <item x="201"/>
        <item x="193"/>
        <item t="default"/>
      </items>
    </pivotField>
    <pivotField showAll="0">
      <items count="9">
        <item x="4"/>
        <item x="6"/>
        <item x="2"/>
        <item x="5"/>
        <item x="0"/>
        <item x="3"/>
        <item x="1"/>
        <item x="7"/>
        <item t="default"/>
      </items>
    </pivotField>
    <pivotField showAll="0"/>
    <pivotField showAll="0"/>
    <pivotField showAll="0">
      <items count="6">
        <item x="4"/>
        <item x="0"/>
        <item x="3"/>
        <item x="2"/>
        <item x="1"/>
        <item t="default"/>
      </items>
    </pivotField>
    <pivotField showAll="0"/>
    <pivotField numFmtId="4" showAll="0"/>
    <pivotField dataField="1" numFmtId="4" showAll="0"/>
    <pivotField numFmtId="4" showAll="0"/>
    <pivotField numFmtId="4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Revenue" fld="8" baseField="0" baseItem="0" numFmtId="166"/>
  </dataFields>
  <formats count="1">
    <format dxfId="6">
      <pivotArea outline="0" collapsedLevelsAreSubtotals="1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C0EB5-252D-4806-9A7B-4DFEC8B24AC2}" name="TablaDinámica4" cacheId="1" applyNumberFormats="0" applyBorderFormats="0" applyFontFormats="0" applyPatternFormats="0" applyAlignmentFormats="0" applyWidthHeightFormats="1" dataCaption="Valores" updatedVersion="6" minRefreshableVersion="5" useAutoFormatting="1" itemPrintTitles="1" createdVersion="8" indent="0" outline="1" outlineData="1" multipleFieldFilters="0">
  <location ref="F15:F16" firstHeaderRow="1" firstDataRow="1" firstDataCol="0"/>
  <pivotFields count="15">
    <pivotField showAll="0"/>
    <pivotField showAll="0">
      <items count="203">
        <item x="2"/>
        <item x="12"/>
        <item x="9"/>
        <item x="1"/>
        <item x="6"/>
        <item x="13"/>
        <item x="5"/>
        <item x="4"/>
        <item x="11"/>
        <item x="14"/>
        <item x="8"/>
        <item x="10"/>
        <item x="15"/>
        <item x="0"/>
        <item x="7"/>
        <item x="3"/>
        <item x="27"/>
        <item x="32"/>
        <item x="31"/>
        <item x="29"/>
        <item x="16"/>
        <item x="21"/>
        <item x="24"/>
        <item x="30"/>
        <item x="20"/>
        <item x="22"/>
        <item x="19"/>
        <item x="23"/>
        <item x="18"/>
        <item x="17"/>
        <item x="28"/>
        <item x="25"/>
        <item x="26"/>
        <item x="41"/>
        <item x="33"/>
        <item x="35"/>
        <item x="49"/>
        <item x="39"/>
        <item x="45"/>
        <item x="36"/>
        <item x="34"/>
        <item x="43"/>
        <item x="44"/>
        <item x="48"/>
        <item x="38"/>
        <item x="47"/>
        <item x="42"/>
        <item x="40"/>
        <item x="46"/>
        <item x="37"/>
        <item x="52"/>
        <item x="51"/>
        <item x="58"/>
        <item x="65"/>
        <item x="66"/>
        <item x="54"/>
        <item x="60"/>
        <item x="56"/>
        <item x="64"/>
        <item x="59"/>
        <item x="61"/>
        <item x="62"/>
        <item x="53"/>
        <item x="50"/>
        <item x="55"/>
        <item x="63"/>
        <item x="57"/>
        <item x="82"/>
        <item x="69"/>
        <item x="71"/>
        <item x="74"/>
        <item x="77"/>
        <item x="79"/>
        <item x="76"/>
        <item x="75"/>
        <item x="72"/>
        <item x="70"/>
        <item x="68"/>
        <item x="67"/>
        <item x="78"/>
        <item x="73"/>
        <item x="81"/>
        <item x="80"/>
        <item x="83"/>
        <item x="88"/>
        <item x="95"/>
        <item x="89"/>
        <item x="96"/>
        <item x="87"/>
        <item x="85"/>
        <item x="86"/>
        <item x="94"/>
        <item x="93"/>
        <item x="98"/>
        <item x="90"/>
        <item x="92"/>
        <item x="91"/>
        <item x="97"/>
        <item x="84"/>
        <item x="109"/>
        <item x="107"/>
        <item x="111"/>
        <item x="104"/>
        <item x="113"/>
        <item x="103"/>
        <item x="102"/>
        <item x="101"/>
        <item x="100"/>
        <item x="106"/>
        <item x="105"/>
        <item x="99"/>
        <item x="116"/>
        <item x="112"/>
        <item x="115"/>
        <item x="108"/>
        <item x="114"/>
        <item x="110"/>
        <item x="122"/>
        <item x="125"/>
        <item x="131"/>
        <item x="119"/>
        <item x="129"/>
        <item x="128"/>
        <item x="130"/>
        <item x="117"/>
        <item x="118"/>
        <item x="120"/>
        <item x="127"/>
        <item x="123"/>
        <item x="124"/>
        <item x="126"/>
        <item x="121"/>
        <item x="145"/>
        <item x="135"/>
        <item x="142"/>
        <item x="134"/>
        <item x="141"/>
        <item x="138"/>
        <item x="146"/>
        <item x="143"/>
        <item x="147"/>
        <item x="132"/>
        <item x="144"/>
        <item x="140"/>
        <item x="137"/>
        <item x="133"/>
        <item x="139"/>
        <item x="136"/>
        <item x="154"/>
        <item x="156"/>
        <item x="148"/>
        <item x="161"/>
        <item x="163"/>
        <item x="153"/>
        <item x="164"/>
        <item x="152"/>
        <item x="149"/>
        <item x="158"/>
        <item x="160"/>
        <item x="155"/>
        <item x="162"/>
        <item x="157"/>
        <item x="159"/>
        <item x="151"/>
        <item x="150"/>
        <item x="184"/>
        <item x="182"/>
        <item x="180"/>
        <item x="169"/>
        <item x="181"/>
        <item x="174"/>
        <item x="183"/>
        <item x="178"/>
        <item x="175"/>
        <item x="168"/>
        <item x="179"/>
        <item x="165"/>
        <item x="170"/>
        <item x="167"/>
        <item x="177"/>
        <item x="176"/>
        <item x="173"/>
        <item x="172"/>
        <item x="171"/>
        <item x="166"/>
        <item x="188"/>
        <item x="192"/>
        <item x="189"/>
        <item x="200"/>
        <item x="199"/>
        <item x="187"/>
        <item x="196"/>
        <item x="194"/>
        <item x="198"/>
        <item x="195"/>
        <item x="186"/>
        <item x="185"/>
        <item x="191"/>
        <item x="197"/>
        <item x="190"/>
        <item x="201"/>
        <item x="193"/>
        <item t="default"/>
      </items>
    </pivotField>
    <pivotField showAll="0">
      <items count="9">
        <item x="4"/>
        <item x="6"/>
        <item x="2"/>
        <item x="5"/>
        <item x="0"/>
        <item x="3"/>
        <item x="1"/>
        <item x="7"/>
        <item t="default"/>
      </items>
    </pivotField>
    <pivotField showAll="0"/>
    <pivotField showAll="0"/>
    <pivotField showAll="0">
      <items count="6">
        <item x="4"/>
        <item x="0"/>
        <item x="3"/>
        <item x="2"/>
        <item x="1"/>
        <item t="default"/>
      </items>
    </pivotField>
    <pivotField showAll="0"/>
    <pivotField numFmtId="4" showAll="0"/>
    <pivotField numFmtId="4" showAll="0"/>
    <pivotField numFmtId="4" showAll="0"/>
    <pivotField dataField="1" numFmtId="4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a de Profit" fld="10" baseField="0" baseItem="0" numFmtId="4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51A2D392-CA9C-48FE-ADC3-14BF66C4F007}" sourceName="Category">
  <pivotTables>
    <pivotTable tabId="3" name="TablaDinámica5"/>
    <pivotTable tabId="3" name="TablaDinámica1"/>
    <pivotTable tabId="3" name="TablaDinámica2"/>
    <pivotTable tabId="3" name="TablaDinámica3"/>
    <pivotTable tabId="3" name="TablaDinámica4"/>
    <pivotTable tabId="3" name="TablaDinámica6"/>
    <pivotTable tabId="3" name="TablaDinámica7"/>
    <pivotTable tabId="3" name="TablaDinámica8"/>
  </pivotTables>
  <data>
    <tabular pivotCacheId="1429489764">
      <items count="8">
        <i x="4" s="1"/>
        <i x="6" s="1"/>
        <i x="2" s="1"/>
        <i x="5" s="1"/>
        <i x="0" s="1"/>
        <i x="3" s="1"/>
        <i x="1" s="1"/>
        <i x="7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hannel" xr10:uid="{B04D95B2-758A-4051-A567-747A71C2A578}" sourceName="Channel">
  <pivotTables>
    <pivotTable tabId="3" name="TablaDinámica5"/>
    <pivotTable tabId="3" name="TablaDinámica1"/>
    <pivotTable tabId="3" name="TablaDinámica2"/>
    <pivotTable tabId="3" name="TablaDinámica3"/>
    <pivotTable tabId="3" name="TablaDinámica4"/>
    <pivotTable tabId="3" name="TablaDinámica6"/>
    <pivotTable tabId="3" name="TablaDinámica7"/>
    <pivotTable tabId="3" name="TablaDinámica8"/>
  </pivotTables>
  <data>
    <tabular pivotCacheId="1429489764">
      <items count="5">
        <i x="4" s="1"/>
        <i x="0" s="1"/>
        <i x="3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1A35869F-BDEC-463F-A160-68C6B9AF2546}" cache="SegmentaciónDeDatos_Category" caption="Category" columnCount="2" style="SlicerStyleDark5" rowHeight="241300"/>
  <slicer name="Channel" xr10:uid="{EB712A6D-9BF1-489A-96BE-A6CC36B3DD08}" cache="SegmentaciónDeDatos_Channel" caption="Channel" style="SlicerStyleDark5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5C8E54F0-9CD3-4A1C-A882-EA039C7404E9}" sourceName="Date">
  <pivotTables>
    <pivotTable tabId="3" name="TablaDinámica5"/>
    <pivotTable tabId="3" name="TablaDinámica1"/>
    <pivotTable tabId="3" name="TablaDinámica2"/>
    <pivotTable tabId="3" name="TablaDinámica3"/>
    <pivotTable tabId="3" name="TablaDinámica4"/>
    <pivotTable tabId="3" name="TablaDinámica6"/>
    <pivotTable tabId="3" name="TablaDinámica7"/>
    <pivotTable tabId="3" name="TablaDinámica8"/>
  </pivotTables>
  <state minimalRefreshVersion="6" lastRefreshVersion="6" pivotCacheId="1429489764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9E47CADF-A63F-48E9-B34D-1006BF580BB4}" cache="NativeTimeline_Date" caption="Date" showSelectionLabel="0" showHorizontalScrollbar="0" level="2" selectionLevel="2" scrollPosition="2024-01-02T00:00:00" style="TimeSlicerStyleDark5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11CF-E88D-4DA3-AA65-C1F4FDE16990}">
  <sheetPr>
    <tabColor rgb="FF16A514"/>
  </sheetPr>
  <dimension ref="A1:A7"/>
  <sheetViews>
    <sheetView showGridLines="0" tabSelected="1" zoomScale="80" zoomScaleNormal="80" workbookViewId="0">
      <selection activeCell="D18" sqref="D18"/>
    </sheetView>
  </sheetViews>
  <sheetFormatPr baseColWidth="10" defaultRowHeight="15" x14ac:dyDescent="0.25"/>
  <sheetData>
    <row r="1" s="4" customFormat="1" x14ac:dyDescent="0.25"/>
    <row r="2" s="4" customFormat="1" x14ac:dyDescent="0.25"/>
    <row r="3" s="4" customFormat="1" x14ac:dyDescent="0.25"/>
    <row r="4" s="4" customFormat="1" x14ac:dyDescent="0.25"/>
    <row r="5" s="4" customFormat="1" x14ac:dyDescent="0.25"/>
    <row r="6" s="4" customFormat="1" x14ac:dyDescent="0.25"/>
    <row r="7" s="4" customFormat="1" x14ac:dyDescent="0.25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E66D"/>
  </sheetPr>
  <dimension ref="A2:G58"/>
  <sheetViews>
    <sheetView workbookViewId="0">
      <selection activeCell="G63" sqref="G63"/>
    </sheetView>
  </sheetViews>
  <sheetFormatPr baseColWidth="10" defaultColWidth="8.85546875" defaultRowHeight="15" x14ac:dyDescent="0.25"/>
  <cols>
    <col min="1" max="1" width="17.5703125" bestFit="1" customWidth="1"/>
    <col min="2" max="2" width="13.7109375" bestFit="1" customWidth="1"/>
    <col min="3" max="3" width="17.7109375" bestFit="1" customWidth="1"/>
    <col min="6" max="6" width="14" bestFit="1" customWidth="1"/>
    <col min="7" max="7" width="14.28515625" bestFit="1" customWidth="1"/>
  </cols>
  <sheetData>
    <row r="2" spans="1:7" x14ac:dyDescent="0.25">
      <c r="A2" s="6" t="s">
        <v>381</v>
      </c>
      <c r="B2" t="s">
        <v>375</v>
      </c>
      <c r="F2" t="s">
        <v>374</v>
      </c>
    </row>
    <row r="3" spans="1:7" x14ac:dyDescent="0.25">
      <c r="A3" s="10" t="s">
        <v>383</v>
      </c>
      <c r="B3" s="5">
        <v>225991.83</v>
      </c>
      <c r="F3" t="s">
        <v>375</v>
      </c>
    </row>
    <row r="4" spans="1:7" x14ac:dyDescent="0.25">
      <c r="A4" s="10" t="s">
        <v>384</v>
      </c>
      <c r="B4" s="5">
        <v>200243.37999999998</v>
      </c>
      <c r="F4" s="5">
        <v>2133778.9499999997</v>
      </c>
      <c r="G4" s="5">
        <f>GETPIVOTDATA("Revenue",$F$3)</f>
        <v>2133778.9499999997</v>
      </c>
    </row>
    <row r="5" spans="1:7" x14ac:dyDescent="0.25">
      <c r="A5" s="10" t="s">
        <v>385</v>
      </c>
      <c r="B5" s="5">
        <v>194121.31999999998</v>
      </c>
    </row>
    <row r="6" spans="1:7" x14ac:dyDescent="0.25">
      <c r="A6" s="10" t="s">
        <v>386</v>
      </c>
      <c r="B6" s="5">
        <v>169497.65000000002</v>
      </c>
      <c r="F6" t="s">
        <v>376</v>
      </c>
    </row>
    <row r="7" spans="1:7" x14ac:dyDescent="0.25">
      <c r="A7" s="10" t="s">
        <v>387</v>
      </c>
      <c r="B7" s="5">
        <v>181495.4</v>
      </c>
      <c r="F7" t="s">
        <v>379</v>
      </c>
    </row>
    <row r="8" spans="1:7" x14ac:dyDescent="0.25">
      <c r="A8" s="10" t="s">
        <v>388</v>
      </c>
      <c r="B8" s="5">
        <v>177099.81</v>
      </c>
      <c r="F8" s="7">
        <v>300</v>
      </c>
      <c r="G8">
        <f>GETPIVOTDATA("Order_ID",$F$7)</f>
        <v>300</v>
      </c>
    </row>
    <row r="9" spans="1:7" x14ac:dyDescent="0.25">
      <c r="A9" s="10" t="s">
        <v>389</v>
      </c>
      <c r="B9" s="5">
        <v>149565.69000000003</v>
      </c>
    </row>
    <row r="10" spans="1:7" x14ac:dyDescent="0.25">
      <c r="A10" s="10" t="s">
        <v>390</v>
      </c>
      <c r="B10" s="5">
        <v>144725.51000000004</v>
      </c>
      <c r="F10" t="s">
        <v>377</v>
      </c>
    </row>
    <row r="11" spans="1:7" x14ac:dyDescent="0.25">
      <c r="A11" s="10" t="s">
        <v>391</v>
      </c>
      <c r="B11" s="5">
        <v>182921.44</v>
      </c>
      <c r="F11" s="9">
        <f>G4/G8</f>
        <v>7112.5964999999987</v>
      </c>
    </row>
    <row r="12" spans="1:7" x14ac:dyDescent="0.25">
      <c r="A12" s="10" t="s">
        <v>392</v>
      </c>
      <c r="B12" s="5">
        <v>173999.19</v>
      </c>
    </row>
    <row r="13" spans="1:7" x14ac:dyDescent="0.25">
      <c r="A13" s="10" t="s">
        <v>393</v>
      </c>
      <c r="B13" s="5">
        <v>166362.01000000004</v>
      </c>
    </row>
    <row r="14" spans="1:7" x14ac:dyDescent="0.25">
      <c r="A14" s="10" t="s">
        <v>394</v>
      </c>
      <c r="B14" s="5">
        <v>167755.71999999997</v>
      </c>
      <c r="F14" t="s">
        <v>378</v>
      </c>
    </row>
    <row r="15" spans="1:7" x14ac:dyDescent="0.25">
      <c r="A15" s="10" t="s">
        <v>382</v>
      </c>
      <c r="B15" s="5">
        <v>2133778.9499999997</v>
      </c>
      <c r="F15" t="s">
        <v>380</v>
      </c>
    </row>
    <row r="16" spans="1:7" x14ac:dyDescent="0.25">
      <c r="F16" s="7">
        <v>1009186.4099999998</v>
      </c>
      <c r="G16" s="8">
        <f>GETPIVOTDATA("Profit",$F$15)/G4</f>
        <v>0.47295733702874887</v>
      </c>
    </row>
    <row r="17" spans="1:2" x14ac:dyDescent="0.25">
      <c r="A17" s="6" t="s">
        <v>381</v>
      </c>
      <c r="B17" t="s">
        <v>375</v>
      </c>
    </row>
    <row r="18" spans="1:2" x14ac:dyDescent="0.25">
      <c r="A18" s="10" t="s">
        <v>10</v>
      </c>
      <c r="B18" s="5">
        <v>191420.69</v>
      </c>
    </row>
    <row r="19" spans="1:2" x14ac:dyDescent="0.25">
      <c r="A19" s="10" t="s">
        <v>17</v>
      </c>
      <c r="B19" s="5">
        <v>204443.41000000003</v>
      </c>
    </row>
    <row r="20" spans="1:2" x14ac:dyDescent="0.25">
      <c r="A20" s="10" t="s">
        <v>21</v>
      </c>
      <c r="B20" s="5">
        <v>226711.98</v>
      </c>
    </row>
    <row r="21" spans="1:2" x14ac:dyDescent="0.25">
      <c r="A21" s="10" t="s">
        <v>14</v>
      </c>
      <c r="B21" s="5">
        <v>237623.30999999997</v>
      </c>
    </row>
    <row r="22" spans="1:2" x14ac:dyDescent="0.25">
      <c r="A22" s="10" t="s">
        <v>6</v>
      </c>
      <c r="B22" s="5">
        <v>239122.74</v>
      </c>
    </row>
    <row r="23" spans="1:2" x14ac:dyDescent="0.25">
      <c r="A23" s="10" t="s">
        <v>19</v>
      </c>
      <c r="B23" s="5">
        <v>325773.47000000003</v>
      </c>
    </row>
    <row r="24" spans="1:2" x14ac:dyDescent="0.25">
      <c r="A24" s="10" t="s">
        <v>67</v>
      </c>
      <c r="B24" s="5">
        <v>348456.97</v>
      </c>
    </row>
    <row r="25" spans="1:2" x14ac:dyDescent="0.25">
      <c r="A25" s="10" t="s">
        <v>12</v>
      </c>
      <c r="B25" s="5">
        <v>360226.38000000006</v>
      </c>
    </row>
    <row r="26" spans="1:2" x14ac:dyDescent="0.25">
      <c r="A26" s="10" t="s">
        <v>382</v>
      </c>
      <c r="B26" s="5">
        <v>2133778.9500000002</v>
      </c>
    </row>
    <row r="28" spans="1:2" x14ac:dyDescent="0.25">
      <c r="A28" s="6" t="s">
        <v>381</v>
      </c>
      <c r="B28" t="s">
        <v>375</v>
      </c>
    </row>
    <row r="29" spans="1:2" x14ac:dyDescent="0.25">
      <c r="A29" s="10" t="s">
        <v>51</v>
      </c>
      <c r="B29" s="5">
        <v>342642.11000000022</v>
      </c>
    </row>
    <row r="30" spans="1:2" x14ac:dyDescent="0.25">
      <c r="A30" s="10" t="s">
        <v>36</v>
      </c>
      <c r="B30" s="5">
        <v>298069.03000000003</v>
      </c>
    </row>
    <row r="31" spans="1:2" x14ac:dyDescent="0.25">
      <c r="A31" s="10" t="s">
        <v>45</v>
      </c>
      <c r="B31" s="5">
        <v>496834.46000000014</v>
      </c>
    </row>
    <row r="32" spans="1:2" x14ac:dyDescent="0.25">
      <c r="A32" s="10" t="s">
        <v>43</v>
      </c>
      <c r="B32" s="5">
        <v>507220.23</v>
      </c>
    </row>
    <row r="33" spans="1:2" x14ac:dyDescent="0.25">
      <c r="A33" s="10" t="s">
        <v>40</v>
      </c>
      <c r="B33" s="5">
        <v>489013.11999999994</v>
      </c>
    </row>
    <row r="34" spans="1:2" x14ac:dyDescent="0.25">
      <c r="A34" s="10" t="s">
        <v>382</v>
      </c>
      <c r="B34" s="5">
        <v>2133778.9500000002</v>
      </c>
    </row>
    <row r="37" spans="1:2" x14ac:dyDescent="0.25">
      <c r="A37" s="6" t="s">
        <v>381</v>
      </c>
      <c r="B37" t="s">
        <v>395</v>
      </c>
    </row>
    <row r="38" spans="1:2" x14ac:dyDescent="0.25">
      <c r="A38" s="10" t="s">
        <v>383</v>
      </c>
      <c r="B38" s="7">
        <v>724</v>
      </c>
    </row>
    <row r="39" spans="1:2" x14ac:dyDescent="0.25">
      <c r="A39" s="10" t="s">
        <v>384</v>
      </c>
      <c r="B39" s="7">
        <v>771</v>
      </c>
    </row>
    <row r="40" spans="1:2" x14ac:dyDescent="0.25">
      <c r="A40" s="10" t="s">
        <v>385</v>
      </c>
      <c r="B40" s="7">
        <v>638</v>
      </c>
    </row>
    <row r="41" spans="1:2" x14ac:dyDescent="0.25">
      <c r="A41" s="10" t="s">
        <v>386</v>
      </c>
      <c r="B41" s="7">
        <v>670</v>
      </c>
    </row>
    <row r="42" spans="1:2" x14ac:dyDescent="0.25">
      <c r="A42" s="10" t="s">
        <v>387</v>
      </c>
      <c r="B42" s="7">
        <v>691</v>
      </c>
    </row>
    <row r="43" spans="1:2" x14ac:dyDescent="0.25">
      <c r="A43" s="10" t="s">
        <v>388</v>
      </c>
      <c r="B43" s="7">
        <v>637</v>
      </c>
    </row>
    <row r="44" spans="1:2" x14ac:dyDescent="0.25">
      <c r="A44" s="10" t="s">
        <v>389</v>
      </c>
      <c r="B44" s="7">
        <v>556</v>
      </c>
    </row>
    <row r="45" spans="1:2" x14ac:dyDescent="0.25">
      <c r="A45" s="10" t="s">
        <v>390</v>
      </c>
      <c r="B45" s="7">
        <v>646</v>
      </c>
    </row>
    <row r="46" spans="1:2" x14ac:dyDescent="0.25">
      <c r="A46" s="10" t="s">
        <v>391</v>
      </c>
      <c r="B46" s="7">
        <v>733</v>
      </c>
    </row>
    <row r="47" spans="1:2" x14ac:dyDescent="0.25">
      <c r="A47" s="10" t="s">
        <v>392</v>
      </c>
      <c r="B47" s="7">
        <v>594</v>
      </c>
    </row>
    <row r="48" spans="1:2" x14ac:dyDescent="0.25">
      <c r="A48" s="10" t="s">
        <v>393</v>
      </c>
      <c r="B48" s="7">
        <v>652</v>
      </c>
    </row>
    <row r="49" spans="1:2" x14ac:dyDescent="0.25">
      <c r="A49" s="10" t="s">
        <v>394</v>
      </c>
      <c r="B49" s="7">
        <v>693</v>
      </c>
    </row>
    <row r="50" spans="1:2" x14ac:dyDescent="0.25">
      <c r="A50" s="10" t="s">
        <v>382</v>
      </c>
      <c r="B50" s="7">
        <v>8005</v>
      </c>
    </row>
    <row r="54" spans="1:2" x14ac:dyDescent="0.25">
      <c r="A54" s="6" t="s">
        <v>381</v>
      </c>
      <c r="B54" t="s">
        <v>396</v>
      </c>
    </row>
    <row r="55" spans="1:2" x14ac:dyDescent="0.25">
      <c r="A55" s="10" t="s">
        <v>37</v>
      </c>
      <c r="B55" s="7">
        <v>270</v>
      </c>
    </row>
    <row r="56" spans="1:2" x14ac:dyDescent="0.25">
      <c r="A56" s="10" t="s">
        <v>77</v>
      </c>
      <c r="B56" s="7">
        <v>16</v>
      </c>
    </row>
    <row r="57" spans="1:2" x14ac:dyDescent="0.25">
      <c r="A57" s="10" t="s">
        <v>47</v>
      </c>
      <c r="B57" s="7">
        <v>14</v>
      </c>
    </row>
    <row r="58" spans="1:2" x14ac:dyDescent="0.25">
      <c r="A58" s="10" t="s">
        <v>382</v>
      </c>
      <c r="B58" s="7">
        <v>300</v>
      </c>
    </row>
  </sheetData>
  <pageMargins left="0.75" right="0.75" top="1" bottom="1" header="0.5" footer="0.5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6B6B"/>
  </sheetPr>
  <dimension ref="A1:M301"/>
  <sheetViews>
    <sheetView workbookViewId="0">
      <selection activeCell="G2" sqref="G2"/>
    </sheetView>
  </sheetViews>
  <sheetFormatPr baseColWidth="10" defaultColWidth="8.85546875" defaultRowHeight="15" x14ac:dyDescent="0.25"/>
  <cols>
    <col min="1" max="13" width="16" customWidth="1"/>
  </cols>
  <sheetData>
    <row r="1" spans="1:13" x14ac:dyDescent="0.25">
      <c r="A1" s="1" t="s">
        <v>27</v>
      </c>
      <c r="B1" s="12" t="s">
        <v>28</v>
      </c>
      <c r="C1" s="1" t="s">
        <v>1</v>
      </c>
      <c r="D1" s="1" t="s">
        <v>0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2</v>
      </c>
      <c r="J1" s="1" t="s">
        <v>33</v>
      </c>
      <c r="K1" s="1" t="s">
        <v>3</v>
      </c>
      <c r="L1" s="1" t="s">
        <v>34</v>
      </c>
      <c r="M1" s="1" t="s">
        <v>4</v>
      </c>
    </row>
    <row r="2" spans="1:13" x14ac:dyDescent="0.25">
      <c r="A2" s="2" t="s">
        <v>35</v>
      </c>
      <c r="B2" s="11">
        <v>45312</v>
      </c>
      <c r="C2" s="2" t="s">
        <v>19</v>
      </c>
      <c r="D2" s="2" t="s">
        <v>18</v>
      </c>
      <c r="E2" s="2" t="s">
        <v>25</v>
      </c>
      <c r="F2" s="2" t="s">
        <v>36</v>
      </c>
      <c r="G2" s="2">
        <v>31</v>
      </c>
      <c r="H2" s="3">
        <v>405.67</v>
      </c>
      <c r="I2" s="3">
        <v>12575.77</v>
      </c>
      <c r="J2" s="3">
        <v>5628.95</v>
      </c>
      <c r="K2" s="3">
        <v>6946.82</v>
      </c>
      <c r="L2" s="2" t="s">
        <v>37</v>
      </c>
      <c r="M2" s="2">
        <v>3.2</v>
      </c>
    </row>
    <row r="3" spans="1:13" x14ac:dyDescent="0.25">
      <c r="A3" s="2" t="s">
        <v>38</v>
      </c>
      <c r="B3" s="11">
        <v>45295</v>
      </c>
      <c r="C3" s="2" t="s">
        <v>19</v>
      </c>
      <c r="D3" s="2" t="s">
        <v>39</v>
      </c>
      <c r="E3" s="2" t="s">
        <v>24</v>
      </c>
      <c r="F3" s="2" t="s">
        <v>40</v>
      </c>
      <c r="G3" s="2">
        <v>44</v>
      </c>
      <c r="H3" s="3">
        <v>330.19</v>
      </c>
      <c r="I3" s="3">
        <v>14528.36</v>
      </c>
      <c r="J3" s="3">
        <v>8158.33</v>
      </c>
      <c r="K3" s="3">
        <v>6370.03</v>
      </c>
      <c r="L3" s="2" t="s">
        <v>37</v>
      </c>
      <c r="M3" s="2">
        <v>3.1</v>
      </c>
    </row>
    <row r="4" spans="1:13" x14ac:dyDescent="0.25">
      <c r="A4" s="2" t="s">
        <v>41</v>
      </c>
      <c r="B4" s="11">
        <v>45292</v>
      </c>
      <c r="C4" s="2" t="s">
        <v>12</v>
      </c>
      <c r="D4" s="2" t="s">
        <v>42</v>
      </c>
      <c r="E4" s="2" t="s">
        <v>22</v>
      </c>
      <c r="F4" s="2" t="s">
        <v>43</v>
      </c>
      <c r="G4" s="2">
        <v>29</v>
      </c>
      <c r="H4" s="3">
        <v>78.69</v>
      </c>
      <c r="I4" s="3">
        <v>2282.0100000000002</v>
      </c>
      <c r="J4" s="3">
        <v>1017.48</v>
      </c>
      <c r="K4" s="3">
        <v>1264.53</v>
      </c>
      <c r="L4" s="2" t="s">
        <v>37</v>
      </c>
      <c r="M4" s="2">
        <v>3.9</v>
      </c>
    </row>
    <row r="5" spans="1:13" x14ac:dyDescent="0.25">
      <c r="A5" s="2" t="s">
        <v>44</v>
      </c>
      <c r="B5" s="11">
        <v>45315</v>
      </c>
      <c r="C5" s="2" t="s">
        <v>10</v>
      </c>
      <c r="D5" s="2" t="s">
        <v>9</v>
      </c>
      <c r="E5" s="2" t="s">
        <v>23</v>
      </c>
      <c r="F5" s="2" t="s">
        <v>45</v>
      </c>
      <c r="G5" s="2">
        <v>42</v>
      </c>
      <c r="H5" s="3">
        <v>499.65</v>
      </c>
      <c r="I5" s="3">
        <v>20985.3</v>
      </c>
      <c r="J5" s="3">
        <v>12780.19</v>
      </c>
      <c r="K5" s="3">
        <v>8205.11</v>
      </c>
      <c r="L5" s="2" t="s">
        <v>37</v>
      </c>
      <c r="M5" s="2">
        <v>4.9000000000000004</v>
      </c>
    </row>
    <row r="6" spans="1:13" x14ac:dyDescent="0.25">
      <c r="A6" s="2" t="s">
        <v>46</v>
      </c>
      <c r="B6" s="11">
        <v>45300</v>
      </c>
      <c r="C6" s="2" t="s">
        <v>19</v>
      </c>
      <c r="D6" s="2" t="s">
        <v>18</v>
      </c>
      <c r="E6" s="2" t="s">
        <v>25</v>
      </c>
      <c r="F6" s="2" t="s">
        <v>36</v>
      </c>
      <c r="G6" s="2">
        <v>26</v>
      </c>
      <c r="H6" s="3">
        <v>452.2</v>
      </c>
      <c r="I6" s="3">
        <v>11757.2</v>
      </c>
      <c r="J6" s="3">
        <v>5186.8</v>
      </c>
      <c r="K6" s="3">
        <v>6570.4</v>
      </c>
      <c r="L6" s="2" t="s">
        <v>47</v>
      </c>
      <c r="M6" s="2">
        <v>3</v>
      </c>
    </row>
    <row r="7" spans="1:13" x14ac:dyDescent="0.25">
      <c r="A7" s="2" t="s">
        <v>48</v>
      </c>
      <c r="B7" s="11">
        <v>45299</v>
      </c>
      <c r="C7" s="2" t="s">
        <v>19</v>
      </c>
      <c r="D7" s="2" t="s">
        <v>49</v>
      </c>
      <c r="E7" s="2" t="s">
        <v>25</v>
      </c>
      <c r="F7" s="2" t="s">
        <v>45</v>
      </c>
      <c r="G7" s="2">
        <v>28</v>
      </c>
      <c r="H7" s="3">
        <v>351.33</v>
      </c>
      <c r="I7" s="3">
        <v>9837.24</v>
      </c>
      <c r="J7" s="3">
        <v>5731.44</v>
      </c>
      <c r="K7" s="3">
        <v>4105.8</v>
      </c>
      <c r="L7" s="2" t="s">
        <v>37</v>
      </c>
      <c r="M7" s="2">
        <v>4.5999999999999996</v>
      </c>
    </row>
    <row r="8" spans="1:13" x14ac:dyDescent="0.25">
      <c r="A8" s="2" t="s">
        <v>50</v>
      </c>
      <c r="B8" s="11">
        <v>45299</v>
      </c>
      <c r="C8" s="2" t="s">
        <v>12</v>
      </c>
      <c r="D8" s="2" t="s">
        <v>11</v>
      </c>
      <c r="E8" s="2" t="s">
        <v>22</v>
      </c>
      <c r="F8" s="2" t="s">
        <v>51</v>
      </c>
      <c r="G8" s="2">
        <v>38</v>
      </c>
      <c r="H8" s="3">
        <v>370.51</v>
      </c>
      <c r="I8" s="3">
        <v>14079.38</v>
      </c>
      <c r="J8" s="3">
        <v>5846.31</v>
      </c>
      <c r="K8" s="3">
        <v>8233.07</v>
      </c>
      <c r="L8" s="2" t="s">
        <v>37</v>
      </c>
      <c r="M8" s="2">
        <v>3.6</v>
      </c>
    </row>
    <row r="9" spans="1:13" x14ac:dyDescent="0.25">
      <c r="A9" s="2" t="s">
        <v>52</v>
      </c>
      <c r="B9" s="11">
        <v>45296</v>
      </c>
      <c r="C9" s="2" t="s">
        <v>17</v>
      </c>
      <c r="D9" s="2" t="s">
        <v>53</v>
      </c>
      <c r="E9" s="2" t="s">
        <v>23</v>
      </c>
      <c r="F9" s="2" t="s">
        <v>43</v>
      </c>
      <c r="G9" s="2">
        <v>33</v>
      </c>
      <c r="H9" s="3">
        <v>49.25</v>
      </c>
      <c r="I9" s="3">
        <v>1625.25</v>
      </c>
      <c r="J9" s="3">
        <v>725.6</v>
      </c>
      <c r="K9" s="3">
        <v>899.65</v>
      </c>
      <c r="L9" s="2" t="s">
        <v>37</v>
      </c>
      <c r="M9" s="2">
        <v>4.2</v>
      </c>
    </row>
    <row r="10" spans="1:13" x14ac:dyDescent="0.25">
      <c r="A10" s="2" t="s">
        <v>54</v>
      </c>
      <c r="B10" s="11">
        <v>45315</v>
      </c>
      <c r="C10" s="2" t="s">
        <v>12</v>
      </c>
      <c r="D10" s="2" t="s">
        <v>42</v>
      </c>
      <c r="E10" s="2" t="s">
        <v>26</v>
      </c>
      <c r="F10" s="2" t="s">
        <v>51</v>
      </c>
      <c r="G10" s="2">
        <v>39</v>
      </c>
      <c r="H10" s="3">
        <v>29.47</v>
      </c>
      <c r="I10" s="3">
        <v>1149.33</v>
      </c>
      <c r="J10" s="3">
        <v>483.29</v>
      </c>
      <c r="K10" s="3">
        <v>666.04</v>
      </c>
      <c r="L10" s="2" t="s">
        <v>37</v>
      </c>
      <c r="M10" s="2">
        <v>4.3</v>
      </c>
    </row>
    <row r="11" spans="1:13" x14ac:dyDescent="0.25">
      <c r="A11" s="2" t="s">
        <v>55</v>
      </c>
      <c r="B11" s="11">
        <v>45295</v>
      </c>
      <c r="C11" s="2" t="s">
        <v>14</v>
      </c>
      <c r="D11" s="2" t="s">
        <v>56</v>
      </c>
      <c r="E11" s="2" t="s">
        <v>24</v>
      </c>
      <c r="F11" s="2" t="s">
        <v>43</v>
      </c>
      <c r="G11" s="2">
        <v>43</v>
      </c>
      <c r="H11" s="3">
        <v>360.93</v>
      </c>
      <c r="I11" s="3">
        <v>15519.99</v>
      </c>
      <c r="J11" s="3">
        <v>7134.1</v>
      </c>
      <c r="K11" s="3">
        <v>8385.89</v>
      </c>
      <c r="L11" s="2" t="s">
        <v>37</v>
      </c>
      <c r="M11" s="2">
        <v>3.8</v>
      </c>
    </row>
    <row r="12" spans="1:13" x14ac:dyDescent="0.25">
      <c r="A12" s="2" t="s">
        <v>57</v>
      </c>
      <c r="B12" s="11">
        <v>45313</v>
      </c>
      <c r="C12" s="2" t="s">
        <v>10</v>
      </c>
      <c r="D12" s="2" t="s">
        <v>9</v>
      </c>
      <c r="E12" s="2" t="s">
        <v>26</v>
      </c>
      <c r="F12" s="2" t="s">
        <v>45</v>
      </c>
      <c r="G12" s="2">
        <v>30</v>
      </c>
      <c r="H12" s="3">
        <v>314.37</v>
      </c>
      <c r="I12" s="3">
        <v>9431.1</v>
      </c>
      <c r="J12" s="3">
        <v>5099.8500000000004</v>
      </c>
      <c r="K12" s="3">
        <v>4331.25</v>
      </c>
      <c r="L12" s="2" t="s">
        <v>37</v>
      </c>
      <c r="M12" s="2">
        <v>3.2</v>
      </c>
    </row>
    <row r="13" spans="1:13" x14ac:dyDescent="0.25">
      <c r="A13" s="2" t="s">
        <v>58</v>
      </c>
      <c r="B13" s="11">
        <v>45315</v>
      </c>
      <c r="C13" s="2" t="s">
        <v>17</v>
      </c>
      <c r="D13" s="2" t="s">
        <v>59</v>
      </c>
      <c r="E13" s="2" t="s">
        <v>26</v>
      </c>
      <c r="F13" s="2" t="s">
        <v>36</v>
      </c>
      <c r="G13" s="2">
        <v>5</v>
      </c>
      <c r="H13" s="3">
        <v>440.84</v>
      </c>
      <c r="I13" s="3">
        <v>2204.1999999999998</v>
      </c>
      <c r="J13" s="3">
        <v>1085.31</v>
      </c>
      <c r="K13" s="3">
        <v>1118.8900000000001</v>
      </c>
      <c r="L13" s="2" t="s">
        <v>37</v>
      </c>
      <c r="M13" s="2">
        <v>3.3</v>
      </c>
    </row>
    <row r="14" spans="1:13" x14ac:dyDescent="0.25">
      <c r="A14" s="2" t="s">
        <v>60</v>
      </c>
      <c r="B14" s="11">
        <v>45309</v>
      </c>
      <c r="C14" s="2" t="s">
        <v>6</v>
      </c>
      <c r="D14" s="2" t="s">
        <v>61</v>
      </c>
      <c r="E14" s="2" t="s">
        <v>24</v>
      </c>
      <c r="F14" s="2" t="s">
        <v>40</v>
      </c>
      <c r="G14" s="2">
        <v>20</v>
      </c>
      <c r="H14" s="3">
        <v>466.56</v>
      </c>
      <c r="I14" s="3">
        <v>9331.2000000000007</v>
      </c>
      <c r="J14" s="3">
        <v>3974.13</v>
      </c>
      <c r="K14" s="3">
        <v>5357.07</v>
      </c>
      <c r="L14" s="2" t="s">
        <v>47</v>
      </c>
      <c r="M14" s="2">
        <v>4.8</v>
      </c>
    </row>
    <row r="15" spans="1:13" x14ac:dyDescent="0.25">
      <c r="A15" s="2" t="s">
        <v>62</v>
      </c>
      <c r="B15" s="11">
        <v>45294</v>
      </c>
      <c r="C15" s="2" t="s">
        <v>17</v>
      </c>
      <c r="D15" s="2" t="s">
        <v>59</v>
      </c>
      <c r="E15" s="2" t="s">
        <v>24</v>
      </c>
      <c r="F15" s="2" t="s">
        <v>51</v>
      </c>
      <c r="G15" s="2">
        <v>19</v>
      </c>
      <c r="H15" s="3">
        <v>306.37</v>
      </c>
      <c r="I15" s="3">
        <v>5821.03</v>
      </c>
      <c r="J15" s="3">
        <v>3372.72</v>
      </c>
      <c r="K15" s="3">
        <v>2448.31</v>
      </c>
      <c r="L15" s="2" t="s">
        <v>37</v>
      </c>
      <c r="M15" s="2">
        <v>3.4</v>
      </c>
    </row>
    <row r="16" spans="1:13" x14ac:dyDescent="0.25">
      <c r="A16" s="2" t="s">
        <v>63</v>
      </c>
      <c r="B16" s="11">
        <v>45310</v>
      </c>
      <c r="C16" s="2" t="s">
        <v>6</v>
      </c>
      <c r="D16" s="2" t="s">
        <v>5</v>
      </c>
      <c r="E16" s="2" t="s">
        <v>23</v>
      </c>
      <c r="F16" s="2" t="s">
        <v>36</v>
      </c>
      <c r="G16" s="2">
        <v>41</v>
      </c>
      <c r="H16" s="3">
        <v>217.55</v>
      </c>
      <c r="I16" s="3">
        <v>8919.5499999999993</v>
      </c>
      <c r="J16" s="3">
        <v>4184.79</v>
      </c>
      <c r="K16" s="3">
        <v>4734.76</v>
      </c>
      <c r="L16" s="2" t="s">
        <v>37</v>
      </c>
      <c r="M16" s="2">
        <v>3</v>
      </c>
    </row>
    <row r="17" spans="1:13" x14ac:dyDescent="0.25">
      <c r="A17" s="2" t="s">
        <v>64</v>
      </c>
      <c r="B17" s="11">
        <v>45305</v>
      </c>
      <c r="C17" s="2" t="s">
        <v>19</v>
      </c>
      <c r="D17" s="2" t="s">
        <v>65</v>
      </c>
      <c r="E17" s="2" t="s">
        <v>23</v>
      </c>
      <c r="F17" s="2" t="s">
        <v>51</v>
      </c>
      <c r="G17" s="2">
        <v>46</v>
      </c>
      <c r="H17" s="3">
        <v>219.57</v>
      </c>
      <c r="I17" s="3">
        <v>10100.219999999999</v>
      </c>
      <c r="J17" s="3">
        <v>4064.5</v>
      </c>
      <c r="K17" s="3">
        <v>6035.72</v>
      </c>
      <c r="L17" s="2" t="s">
        <v>37</v>
      </c>
      <c r="M17" s="2">
        <v>3.2</v>
      </c>
    </row>
    <row r="18" spans="1:13" x14ac:dyDescent="0.25">
      <c r="A18" s="2" t="s">
        <v>66</v>
      </c>
      <c r="B18" s="11">
        <v>45293</v>
      </c>
      <c r="C18" s="2" t="s">
        <v>67</v>
      </c>
      <c r="D18" s="2" t="s">
        <v>68</v>
      </c>
      <c r="E18" s="2" t="s">
        <v>22</v>
      </c>
      <c r="F18" s="2" t="s">
        <v>36</v>
      </c>
      <c r="G18" s="2">
        <v>36</v>
      </c>
      <c r="H18" s="3">
        <v>82.57</v>
      </c>
      <c r="I18" s="3">
        <v>2972.52</v>
      </c>
      <c r="J18" s="3">
        <v>1283.72</v>
      </c>
      <c r="K18" s="3">
        <v>1688.8</v>
      </c>
      <c r="L18" s="2" t="s">
        <v>37</v>
      </c>
      <c r="M18" s="2">
        <v>3.6</v>
      </c>
    </row>
    <row r="19" spans="1:13" x14ac:dyDescent="0.25">
      <c r="A19" s="2" t="s">
        <v>69</v>
      </c>
      <c r="B19" s="11">
        <v>45292</v>
      </c>
      <c r="C19" s="2" t="s">
        <v>12</v>
      </c>
      <c r="D19" s="2" t="s">
        <v>11</v>
      </c>
      <c r="E19" s="2" t="s">
        <v>26</v>
      </c>
      <c r="F19" s="2" t="s">
        <v>45</v>
      </c>
      <c r="G19" s="2">
        <v>23</v>
      </c>
      <c r="H19" s="3">
        <v>392.26</v>
      </c>
      <c r="I19" s="3">
        <v>9021.98</v>
      </c>
      <c r="J19" s="3">
        <v>5602.95</v>
      </c>
      <c r="K19" s="3">
        <v>3419.03</v>
      </c>
      <c r="L19" s="2" t="s">
        <v>47</v>
      </c>
      <c r="M19" s="2">
        <v>3.8</v>
      </c>
    </row>
    <row r="20" spans="1:13" x14ac:dyDescent="0.25">
      <c r="A20" s="2" t="s">
        <v>70</v>
      </c>
      <c r="B20" s="11">
        <v>45294</v>
      </c>
      <c r="C20" s="2" t="s">
        <v>12</v>
      </c>
      <c r="D20" s="2" t="s">
        <v>71</v>
      </c>
      <c r="E20" s="2" t="s">
        <v>24</v>
      </c>
      <c r="F20" s="2" t="s">
        <v>43</v>
      </c>
      <c r="G20" s="2">
        <v>12</v>
      </c>
      <c r="H20" s="3">
        <v>441.89</v>
      </c>
      <c r="I20" s="3">
        <v>5302.68</v>
      </c>
      <c r="J20" s="3">
        <v>2153.9299999999998</v>
      </c>
      <c r="K20" s="3">
        <v>3148.75</v>
      </c>
      <c r="L20" s="2" t="s">
        <v>37</v>
      </c>
      <c r="M20" s="2">
        <v>4.5</v>
      </c>
    </row>
    <row r="21" spans="1:13" x14ac:dyDescent="0.25">
      <c r="A21" s="2" t="s">
        <v>72</v>
      </c>
      <c r="B21" s="11">
        <v>45298</v>
      </c>
      <c r="C21" s="2" t="s">
        <v>12</v>
      </c>
      <c r="D21" s="2" t="s">
        <v>73</v>
      </c>
      <c r="E21" s="2" t="s">
        <v>25</v>
      </c>
      <c r="F21" s="2" t="s">
        <v>45</v>
      </c>
      <c r="G21" s="2">
        <v>11</v>
      </c>
      <c r="H21" s="3">
        <v>395.81</v>
      </c>
      <c r="I21" s="3">
        <v>4353.91</v>
      </c>
      <c r="J21" s="3">
        <v>1859.22</v>
      </c>
      <c r="K21" s="3">
        <v>2494.69</v>
      </c>
      <c r="L21" s="2" t="s">
        <v>37</v>
      </c>
      <c r="M21" s="2">
        <v>4.7</v>
      </c>
    </row>
    <row r="22" spans="1:13" x14ac:dyDescent="0.25">
      <c r="A22" s="2" t="s">
        <v>74</v>
      </c>
      <c r="B22" s="11">
        <v>45299</v>
      </c>
      <c r="C22" s="2" t="s">
        <v>19</v>
      </c>
      <c r="D22" s="2" t="s">
        <v>49</v>
      </c>
      <c r="E22" s="2" t="s">
        <v>23</v>
      </c>
      <c r="F22" s="2" t="s">
        <v>43</v>
      </c>
      <c r="G22" s="2">
        <v>20</v>
      </c>
      <c r="H22" s="3">
        <v>412.06</v>
      </c>
      <c r="I22" s="3">
        <v>8241.2000000000007</v>
      </c>
      <c r="J22" s="3">
        <v>5091.67</v>
      </c>
      <c r="K22" s="3">
        <v>3149.53</v>
      </c>
      <c r="L22" s="2" t="s">
        <v>37</v>
      </c>
      <c r="M22" s="2">
        <v>3.4</v>
      </c>
    </row>
    <row r="23" spans="1:13" x14ac:dyDescent="0.25">
      <c r="A23" s="2" t="s">
        <v>75</v>
      </c>
      <c r="B23" s="11">
        <v>45308</v>
      </c>
      <c r="C23" s="2" t="s">
        <v>10</v>
      </c>
      <c r="D23" s="2" t="s">
        <v>76</v>
      </c>
      <c r="E23" s="2" t="s">
        <v>26</v>
      </c>
      <c r="F23" s="2" t="s">
        <v>36</v>
      </c>
      <c r="G23" s="2">
        <v>23</v>
      </c>
      <c r="H23" s="3">
        <v>324.33</v>
      </c>
      <c r="I23" s="3">
        <v>7459.59</v>
      </c>
      <c r="J23" s="3">
        <v>3729.2</v>
      </c>
      <c r="K23" s="3">
        <v>3730.39</v>
      </c>
      <c r="L23" s="2" t="s">
        <v>77</v>
      </c>
      <c r="M23" s="2">
        <v>5</v>
      </c>
    </row>
    <row r="24" spans="1:13" x14ac:dyDescent="0.25">
      <c r="A24" s="2" t="s">
        <v>78</v>
      </c>
      <c r="B24" s="11">
        <v>45311</v>
      </c>
      <c r="C24" s="2" t="s">
        <v>10</v>
      </c>
      <c r="D24" s="2" t="s">
        <v>76</v>
      </c>
      <c r="E24" s="2" t="s">
        <v>26</v>
      </c>
      <c r="F24" s="2" t="s">
        <v>43</v>
      </c>
      <c r="G24" s="2">
        <v>12</v>
      </c>
      <c r="H24" s="3">
        <v>294.49</v>
      </c>
      <c r="I24" s="3">
        <v>3533.88</v>
      </c>
      <c r="J24" s="3">
        <v>2282.4899999999998</v>
      </c>
      <c r="K24" s="3">
        <v>1251.3900000000001</v>
      </c>
      <c r="L24" s="2" t="s">
        <v>37</v>
      </c>
      <c r="M24" s="2">
        <v>3.1</v>
      </c>
    </row>
    <row r="25" spans="1:13" x14ac:dyDescent="0.25">
      <c r="A25" s="2" t="s">
        <v>79</v>
      </c>
      <c r="B25" s="11">
        <v>45292</v>
      </c>
      <c r="C25" s="2" t="s">
        <v>67</v>
      </c>
      <c r="D25" s="2" t="s">
        <v>80</v>
      </c>
      <c r="E25" s="2" t="s">
        <v>23</v>
      </c>
      <c r="F25" s="2" t="s">
        <v>36</v>
      </c>
      <c r="G25" s="2">
        <v>39</v>
      </c>
      <c r="H25" s="3">
        <v>492.28</v>
      </c>
      <c r="I25" s="3">
        <v>19198.919999999998</v>
      </c>
      <c r="J25" s="3">
        <v>8234.64</v>
      </c>
      <c r="K25" s="3">
        <v>10964.28</v>
      </c>
      <c r="L25" s="2" t="s">
        <v>37</v>
      </c>
      <c r="M25" s="2">
        <v>4.8</v>
      </c>
    </row>
    <row r="26" spans="1:13" x14ac:dyDescent="0.25">
      <c r="A26" s="2" t="s">
        <v>81</v>
      </c>
      <c r="B26" s="11">
        <v>45309</v>
      </c>
      <c r="C26" s="2" t="s">
        <v>21</v>
      </c>
      <c r="D26" s="2" t="s">
        <v>20</v>
      </c>
      <c r="E26" s="2" t="s">
        <v>23</v>
      </c>
      <c r="F26" s="2" t="s">
        <v>36</v>
      </c>
      <c r="G26" s="2">
        <v>34</v>
      </c>
      <c r="H26" s="3">
        <v>463.53</v>
      </c>
      <c r="I26" s="3">
        <v>15760.02</v>
      </c>
      <c r="J26" s="3">
        <v>8425.51</v>
      </c>
      <c r="K26" s="3">
        <v>7334.51</v>
      </c>
      <c r="L26" s="2" t="s">
        <v>37</v>
      </c>
      <c r="M26" s="2">
        <v>4.4000000000000004</v>
      </c>
    </row>
    <row r="27" spans="1:13" x14ac:dyDescent="0.25">
      <c r="A27" s="2" t="s">
        <v>82</v>
      </c>
      <c r="B27" s="11">
        <v>45329</v>
      </c>
      <c r="C27" s="2" t="s">
        <v>67</v>
      </c>
      <c r="D27" s="2" t="s">
        <v>68</v>
      </c>
      <c r="E27" s="2" t="s">
        <v>26</v>
      </c>
      <c r="F27" s="2" t="s">
        <v>36</v>
      </c>
      <c r="G27" s="2">
        <v>21</v>
      </c>
      <c r="H27" s="3">
        <v>335.06</v>
      </c>
      <c r="I27" s="3">
        <v>7036.26</v>
      </c>
      <c r="J27" s="3">
        <v>3033.73</v>
      </c>
      <c r="K27" s="3">
        <v>4002.53</v>
      </c>
      <c r="L27" s="2" t="s">
        <v>37</v>
      </c>
      <c r="M27" s="2">
        <v>4.8</v>
      </c>
    </row>
    <row r="28" spans="1:13" x14ac:dyDescent="0.25">
      <c r="A28" s="2" t="s">
        <v>83</v>
      </c>
      <c r="B28" s="11">
        <v>45345</v>
      </c>
      <c r="C28" s="2" t="s">
        <v>67</v>
      </c>
      <c r="D28" s="2" t="s">
        <v>80</v>
      </c>
      <c r="E28" s="2" t="s">
        <v>25</v>
      </c>
      <c r="F28" s="2" t="s">
        <v>45</v>
      </c>
      <c r="G28" s="2">
        <v>45</v>
      </c>
      <c r="H28" s="3">
        <v>154.87</v>
      </c>
      <c r="I28" s="3">
        <v>6969.15</v>
      </c>
      <c r="J28" s="3">
        <v>3009.43</v>
      </c>
      <c r="K28" s="3">
        <v>3959.72</v>
      </c>
      <c r="L28" s="2" t="s">
        <v>37</v>
      </c>
      <c r="M28" s="2">
        <v>3.8</v>
      </c>
    </row>
    <row r="29" spans="1:13" x14ac:dyDescent="0.25">
      <c r="A29" s="2" t="s">
        <v>84</v>
      </c>
      <c r="B29" s="11">
        <v>45343</v>
      </c>
      <c r="C29" s="2" t="s">
        <v>14</v>
      </c>
      <c r="D29" s="2" t="s">
        <v>85</v>
      </c>
      <c r="E29" s="2" t="s">
        <v>26</v>
      </c>
      <c r="F29" s="2" t="s">
        <v>51</v>
      </c>
      <c r="G29" s="2">
        <v>36</v>
      </c>
      <c r="H29" s="3">
        <v>418.53</v>
      </c>
      <c r="I29" s="3">
        <v>15067.08</v>
      </c>
      <c r="J29" s="3">
        <v>7171.46</v>
      </c>
      <c r="K29" s="3">
        <v>7895.62</v>
      </c>
      <c r="L29" s="2" t="s">
        <v>37</v>
      </c>
      <c r="M29" s="2">
        <v>3.4</v>
      </c>
    </row>
    <row r="30" spans="1:13" x14ac:dyDescent="0.25">
      <c r="A30" s="2" t="s">
        <v>86</v>
      </c>
      <c r="B30" s="11">
        <v>45345</v>
      </c>
      <c r="C30" s="2" t="s">
        <v>19</v>
      </c>
      <c r="D30" s="2" t="s">
        <v>87</v>
      </c>
      <c r="E30" s="2" t="s">
        <v>23</v>
      </c>
      <c r="F30" s="2" t="s">
        <v>40</v>
      </c>
      <c r="G30" s="2">
        <v>29</v>
      </c>
      <c r="H30" s="3">
        <v>341.06</v>
      </c>
      <c r="I30" s="3">
        <v>9890.74</v>
      </c>
      <c r="J30" s="3">
        <v>5220.2700000000004</v>
      </c>
      <c r="K30" s="3">
        <v>4670.47</v>
      </c>
      <c r="L30" s="2" t="s">
        <v>37</v>
      </c>
      <c r="M30" s="2">
        <v>4.5999999999999996</v>
      </c>
    </row>
    <row r="31" spans="1:13" x14ac:dyDescent="0.25">
      <c r="A31" s="2" t="s">
        <v>88</v>
      </c>
      <c r="B31" s="11">
        <v>45340</v>
      </c>
      <c r="C31" s="2" t="s">
        <v>67</v>
      </c>
      <c r="D31" s="2" t="s">
        <v>89</v>
      </c>
      <c r="E31" s="2" t="s">
        <v>23</v>
      </c>
      <c r="F31" s="2" t="s">
        <v>40</v>
      </c>
      <c r="G31" s="2">
        <v>49</v>
      </c>
      <c r="H31" s="3">
        <v>125.09</v>
      </c>
      <c r="I31" s="3">
        <v>6129.41</v>
      </c>
      <c r="J31" s="3">
        <v>2927.44</v>
      </c>
      <c r="K31" s="3">
        <v>3201.97</v>
      </c>
      <c r="L31" s="2" t="s">
        <v>37</v>
      </c>
      <c r="M31" s="2">
        <v>4.5999999999999996</v>
      </c>
    </row>
    <row r="32" spans="1:13" x14ac:dyDescent="0.25">
      <c r="A32" s="2" t="s">
        <v>90</v>
      </c>
      <c r="B32" s="11">
        <v>45336</v>
      </c>
      <c r="C32" s="2" t="s">
        <v>19</v>
      </c>
      <c r="D32" s="2" t="s">
        <v>65</v>
      </c>
      <c r="E32" s="2" t="s">
        <v>23</v>
      </c>
      <c r="F32" s="2" t="s">
        <v>43</v>
      </c>
      <c r="G32" s="2">
        <v>50</v>
      </c>
      <c r="H32" s="3">
        <v>45.69</v>
      </c>
      <c r="I32" s="3">
        <v>2284.5</v>
      </c>
      <c r="J32" s="3">
        <v>1150.5</v>
      </c>
      <c r="K32" s="3">
        <v>1134</v>
      </c>
      <c r="L32" s="2" t="s">
        <v>37</v>
      </c>
      <c r="M32" s="2">
        <v>4.3</v>
      </c>
    </row>
    <row r="33" spans="1:13" x14ac:dyDescent="0.25">
      <c r="A33" s="2" t="s">
        <v>91</v>
      </c>
      <c r="B33" s="11">
        <v>45330</v>
      </c>
      <c r="C33" s="2" t="s">
        <v>12</v>
      </c>
      <c r="D33" s="2" t="s">
        <v>71</v>
      </c>
      <c r="E33" s="2" t="s">
        <v>22</v>
      </c>
      <c r="F33" s="2" t="s">
        <v>43</v>
      </c>
      <c r="G33" s="2">
        <v>42</v>
      </c>
      <c r="H33" s="3">
        <v>346.93</v>
      </c>
      <c r="I33" s="3">
        <v>14571.06</v>
      </c>
      <c r="J33" s="3">
        <v>9080.17</v>
      </c>
      <c r="K33" s="3">
        <v>5490.89</v>
      </c>
      <c r="L33" s="2" t="s">
        <v>37</v>
      </c>
      <c r="M33" s="2">
        <v>4.7</v>
      </c>
    </row>
    <row r="34" spans="1:13" x14ac:dyDescent="0.25">
      <c r="A34" s="2" t="s">
        <v>92</v>
      </c>
      <c r="B34" s="11">
        <v>45337</v>
      </c>
      <c r="C34" s="2" t="s">
        <v>19</v>
      </c>
      <c r="D34" s="2" t="s">
        <v>39</v>
      </c>
      <c r="E34" s="2" t="s">
        <v>25</v>
      </c>
      <c r="F34" s="2" t="s">
        <v>51</v>
      </c>
      <c r="G34" s="2">
        <v>36</v>
      </c>
      <c r="H34" s="3">
        <v>132.11000000000001</v>
      </c>
      <c r="I34" s="3">
        <v>4755.96</v>
      </c>
      <c r="J34" s="3">
        <v>2911.05</v>
      </c>
      <c r="K34" s="3">
        <v>1844.91</v>
      </c>
      <c r="L34" s="2" t="s">
        <v>77</v>
      </c>
      <c r="M34" s="2">
        <v>3.9</v>
      </c>
    </row>
    <row r="35" spans="1:13" x14ac:dyDescent="0.25">
      <c r="A35" s="2" t="s">
        <v>93</v>
      </c>
      <c r="B35" s="11">
        <v>45341</v>
      </c>
      <c r="C35" s="2" t="s">
        <v>67</v>
      </c>
      <c r="D35" s="2" t="s">
        <v>80</v>
      </c>
      <c r="E35" s="2" t="s">
        <v>26</v>
      </c>
      <c r="F35" s="2" t="s">
        <v>43</v>
      </c>
      <c r="G35" s="2">
        <v>40</v>
      </c>
      <c r="H35" s="3">
        <v>409.35</v>
      </c>
      <c r="I35" s="3">
        <v>16374</v>
      </c>
      <c r="J35" s="3">
        <v>10201.09</v>
      </c>
      <c r="K35" s="3">
        <v>6172.91</v>
      </c>
      <c r="L35" s="2" t="s">
        <v>47</v>
      </c>
      <c r="M35" s="2">
        <v>3.9</v>
      </c>
    </row>
    <row r="36" spans="1:13" x14ac:dyDescent="0.25">
      <c r="A36" s="2" t="s">
        <v>94</v>
      </c>
      <c r="B36" s="11">
        <v>45331</v>
      </c>
      <c r="C36" s="2" t="s">
        <v>19</v>
      </c>
      <c r="D36" s="2" t="s">
        <v>87</v>
      </c>
      <c r="E36" s="2" t="s">
        <v>26</v>
      </c>
      <c r="F36" s="2" t="s">
        <v>43</v>
      </c>
      <c r="G36" s="2">
        <v>17</v>
      </c>
      <c r="H36" s="3">
        <v>378.37</v>
      </c>
      <c r="I36" s="3">
        <v>6432.29</v>
      </c>
      <c r="J36" s="3">
        <v>3923.48</v>
      </c>
      <c r="K36" s="3">
        <v>2508.81</v>
      </c>
      <c r="L36" s="2" t="s">
        <v>37</v>
      </c>
      <c r="M36" s="2">
        <v>3.6</v>
      </c>
    </row>
    <row r="37" spans="1:13" x14ac:dyDescent="0.25">
      <c r="A37" s="2" t="s">
        <v>95</v>
      </c>
      <c r="B37" s="11">
        <v>45348</v>
      </c>
      <c r="C37" s="2" t="s">
        <v>14</v>
      </c>
      <c r="D37" s="2" t="s">
        <v>85</v>
      </c>
      <c r="E37" s="2" t="s">
        <v>26</v>
      </c>
      <c r="F37" s="2" t="s">
        <v>40</v>
      </c>
      <c r="G37" s="2">
        <v>5</v>
      </c>
      <c r="H37" s="3">
        <v>359.64</v>
      </c>
      <c r="I37" s="3">
        <v>1798.2</v>
      </c>
      <c r="J37" s="3">
        <v>824.7</v>
      </c>
      <c r="K37" s="3">
        <v>973.5</v>
      </c>
      <c r="L37" s="2" t="s">
        <v>37</v>
      </c>
      <c r="M37" s="2">
        <v>3.7</v>
      </c>
    </row>
    <row r="38" spans="1:13" x14ac:dyDescent="0.25">
      <c r="A38" s="2" t="s">
        <v>96</v>
      </c>
      <c r="B38" s="11">
        <v>45350</v>
      </c>
      <c r="C38" s="2" t="s">
        <v>12</v>
      </c>
      <c r="D38" s="2" t="s">
        <v>97</v>
      </c>
      <c r="E38" s="2" t="s">
        <v>24</v>
      </c>
      <c r="F38" s="2" t="s">
        <v>51</v>
      </c>
      <c r="G38" s="2">
        <v>45</v>
      </c>
      <c r="H38" s="3">
        <v>84.87</v>
      </c>
      <c r="I38" s="3">
        <v>3819.15</v>
      </c>
      <c r="J38" s="3">
        <v>1731.94</v>
      </c>
      <c r="K38" s="3">
        <v>2087.21</v>
      </c>
      <c r="L38" s="2" t="s">
        <v>37</v>
      </c>
      <c r="M38" s="2">
        <v>3.8</v>
      </c>
    </row>
    <row r="39" spans="1:13" x14ac:dyDescent="0.25">
      <c r="A39" s="2" t="s">
        <v>98</v>
      </c>
      <c r="B39" s="11">
        <v>45323</v>
      </c>
      <c r="C39" s="2" t="s">
        <v>6</v>
      </c>
      <c r="D39" s="2" t="s">
        <v>7</v>
      </c>
      <c r="E39" s="2" t="s">
        <v>22</v>
      </c>
      <c r="F39" s="2" t="s">
        <v>51</v>
      </c>
      <c r="G39" s="2">
        <v>27</v>
      </c>
      <c r="H39" s="3">
        <v>200.84</v>
      </c>
      <c r="I39" s="3">
        <v>5422.68</v>
      </c>
      <c r="J39" s="3">
        <v>3212.66</v>
      </c>
      <c r="K39" s="3">
        <v>2210.02</v>
      </c>
      <c r="L39" s="2" t="s">
        <v>37</v>
      </c>
      <c r="M39" s="2">
        <v>4.9000000000000004</v>
      </c>
    </row>
    <row r="40" spans="1:13" x14ac:dyDescent="0.25">
      <c r="A40" s="2" t="s">
        <v>99</v>
      </c>
      <c r="B40" s="11">
        <v>45347</v>
      </c>
      <c r="C40" s="2" t="s">
        <v>6</v>
      </c>
      <c r="D40" s="2" t="s">
        <v>8</v>
      </c>
      <c r="E40" s="2" t="s">
        <v>25</v>
      </c>
      <c r="F40" s="2" t="s">
        <v>51</v>
      </c>
      <c r="G40" s="2">
        <v>20</v>
      </c>
      <c r="H40" s="3">
        <v>379.2</v>
      </c>
      <c r="I40" s="3">
        <v>7584</v>
      </c>
      <c r="J40" s="3">
        <v>4651.74</v>
      </c>
      <c r="K40" s="3">
        <v>2932.26</v>
      </c>
      <c r="L40" s="2" t="s">
        <v>37</v>
      </c>
      <c r="M40" s="2">
        <v>4.9000000000000004</v>
      </c>
    </row>
    <row r="41" spans="1:13" x14ac:dyDescent="0.25">
      <c r="A41" s="2" t="s">
        <v>100</v>
      </c>
      <c r="B41" s="11">
        <v>45348</v>
      </c>
      <c r="C41" s="2" t="s">
        <v>12</v>
      </c>
      <c r="D41" s="2" t="s">
        <v>97</v>
      </c>
      <c r="E41" s="2" t="s">
        <v>25</v>
      </c>
      <c r="F41" s="2" t="s">
        <v>45</v>
      </c>
      <c r="G41" s="2">
        <v>15</v>
      </c>
      <c r="H41" s="3">
        <v>143.74</v>
      </c>
      <c r="I41" s="3">
        <v>2156.1</v>
      </c>
      <c r="J41" s="3">
        <v>1124.21</v>
      </c>
      <c r="K41" s="3">
        <v>1031.8900000000001</v>
      </c>
      <c r="L41" s="2" t="s">
        <v>37</v>
      </c>
      <c r="M41" s="2">
        <v>3.8</v>
      </c>
    </row>
    <row r="42" spans="1:13" x14ac:dyDescent="0.25">
      <c r="A42" s="2" t="s">
        <v>101</v>
      </c>
      <c r="B42" s="11">
        <v>45328</v>
      </c>
      <c r="C42" s="2" t="s">
        <v>17</v>
      </c>
      <c r="D42" s="2" t="s">
        <v>102</v>
      </c>
      <c r="E42" s="2" t="s">
        <v>22</v>
      </c>
      <c r="F42" s="2" t="s">
        <v>40</v>
      </c>
      <c r="G42" s="2">
        <v>35</v>
      </c>
      <c r="H42" s="3">
        <v>23.21</v>
      </c>
      <c r="I42" s="3">
        <v>812.35</v>
      </c>
      <c r="J42" s="3">
        <v>404.96</v>
      </c>
      <c r="K42" s="3">
        <v>407.39</v>
      </c>
      <c r="L42" s="2" t="s">
        <v>37</v>
      </c>
      <c r="M42" s="2">
        <v>4.0999999999999996</v>
      </c>
    </row>
    <row r="43" spans="1:13" x14ac:dyDescent="0.25">
      <c r="A43" s="2" t="s">
        <v>103</v>
      </c>
      <c r="B43" s="11">
        <v>45345</v>
      </c>
      <c r="C43" s="2" t="s">
        <v>17</v>
      </c>
      <c r="D43" s="2" t="s">
        <v>104</v>
      </c>
      <c r="E43" s="2" t="s">
        <v>24</v>
      </c>
      <c r="F43" s="2" t="s">
        <v>36</v>
      </c>
      <c r="G43" s="2">
        <v>12</v>
      </c>
      <c r="H43" s="3">
        <v>34.64</v>
      </c>
      <c r="I43" s="3">
        <v>415.68</v>
      </c>
      <c r="J43" s="3">
        <v>205.67</v>
      </c>
      <c r="K43" s="3">
        <v>210.01</v>
      </c>
      <c r="L43" s="2" t="s">
        <v>37</v>
      </c>
      <c r="M43" s="2">
        <v>3.4</v>
      </c>
    </row>
    <row r="44" spans="1:13" x14ac:dyDescent="0.25">
      <c r="A44" s="2" t="s">
        <v>105</v>
      </c>
      <c r="B44" s="11">
        <v>45336</v>
      </c>
      <c r="C44" s="2" t="s">
        <v>21</v>
      </c>
      <c r="D44" s="2" t="s">
        <v>106</v>
      </c>
      <c r="E44" s="2" t="s">
        <v>25</v>
      </c>
      <c r="F44" s="2" t="s">
        <v>40</v>
      </c>
      <c r="G44" s="2">
        <v>49</v>
      </c>
      <c r="H44" s="3">
        <v>476.09</v>
      </c>
      <c r="I44" s="3">
        <v>23328.41</v>
      </c>
      <c r="J44" s="3">
        <v>11789.97</v>
      </c>
      <c r="K44" s="3">
        <v>11538.44</v>
      </c>
      <c r="L44" s="2" t="s">
        <v>37</v>
      </c>
      <c r="M44" s="2">
        <v>4.7</v>
      </c>
    </row>
    <row r="45" spans="1:13" x14ac:dyDescent="0.25">
      <c r="A45" s="2" t="s">
        <v>107</v>
      </c>
      <c r="B45" s="11">
        <v>45333</v>
      </c>
      <c r="C45" s="2" t="s">
        <v>6</v>
      </c>
      <c r="D45" s="2" t="s">
        <v>8</v>
      </c>
      <c r="E45" s="2" t="s">
        <v>22</v>
      </c>
      <c r="F45" s="2" t="s">
        <v>45</v>
      </c>
      <c r="G45" s="2">
        <v>15</v>
      </c>
      <c r="H45" s="3">
        <v>328.57</v>
      </c>
      <c r="I45" s="3">
        <v>4928.55</v>
      </c>
      <c r="J45" s="3">
        <v>2934.01</v>
      </c>
      <c r="K45" s="3">
        <v>1994.54</v>
      </c>
      <c r="L45" s="2" t="s">
        <v>37</v>
      </c>
      <c r="M45" s="2">
        <v>4.3</v>
      </c>
    </row>
    <row r="46" spans="1:13" x14ac:dyDescent="0.25">
      <c r="A46" s="2" t="s">
        <v>108</v>
      </c>
      <c r="B46" s="11">
        <v>45331</v>
      </c>
      <c r="C46" s="2" t="s">
        <v>6</v>
      </c>
      <c r="D46" s="2" t="s">
        <v>61</v>
      </c>
      <c r="E46" s="2" t="s">
        <v>23</v>
      </c>
      <c r="F46" s="2" t="s">
        <v>43</v>
      </c>
      <c r="G46" s="2">
        <v>10</v>
      </c>
      <c r="H46" s="3">
        <v>126.89</v>
      </c>
      <c r="I46" s="3">
        <v>1268.9000000000001</v>
      </c>
      <c r="J46" s="3">
        <v>657.79</v>
      </c>
      <c r="K46" s="3">
        <v>611.11</v>
      </c>
      <c r="L46" s="2" t="s">
        <v>37</v>
      </c>
      <c r="M46" s="2">
        <v>3.2</v>
      </c>
    </row>
    <row r="47" spans="1:13" x14ac:dyDescent="0.25">
      <c r="A47" s="2" t="s">
        <v>109</v>
      </c>
      <c r="B47" s="11">
        <v>45327</v>
      </c>
      <c r="C47" s="2" t="s">
        <v>67</v>
      </c>
      <c r="D47" s="2" t="s">
        <v>110</v>
      </c>
      <c r="E47" s="2" t="s">
        <v>23</v>
      </c>
      <c r="F47" s="2" t="s">
        <v>36</v>
      </c>
      <c r="G47" s="2">
        <v>39</v>
      </c>
      <c r="H47" s="3">
        <v>307.55</v>
      </c>
      <c r="I47" s="3">
        <v>11994.45</v>
      </c>
      <c r="J47" s="3">
        <v>7040.52</v>
      </c>
      <c r="K47" s="3">
        <v>4953.93</v>
      </c>
      <c r="L47" s="2" t="s">
        <v>37</v>
      </c>
      <c r="M47" s="2">
        <v>3.2</v>
      </c>
    </row>
    <row r="48" spans="1:13" x14ac:dyDescent="0.25">
      <c r="A48" s="2" t="s">
        <v>111</v>
      </c>
      <c r="B48" s="11">
        <v>45329</v>
      </c>
      <c r="C48" s="2" t="s">
        <v>6</v>
      </c>
      <c r="D48" s="2" t="s">
        <v>8</v>
      </c>
      <c r="E48" s="2" t="s">
        <v>23</v>
      </c>
      <c r="F48" s="2" t="s">
        <v>40</v>
      </c>
      <c r="G48" s="2">
        <v>37</v>
      </c>
      <c r="H48" s="3">
        <v>341.9</v>
      </c>
      <c r="I48" s="3">
        <v>12650.3</v>
      </c>
      <c r="J48" s="3">
        <v>8090.41</v>
      </c>
      <c r="K48" s="3">
        <v>4559.8900000000003</v>
      </c>
      <c r="L48" s="2" t="s">
        <v>37</v>
      </c>
      <c r="M48" s="2">
        <v>3.8</v>
      </c>
    </row>
    <row r="49" spans="1:13" x14ac:dyDescent="0.25">
      <c r="A49" s="2" t="s">
        <v>112</v>
      </c>
      <c r="B49" s="11">
        <v>45347</v>
      </c>
      <c r="C49" s="2" t="s">
        <v>12</v>
      </c>
      <c r="D49" s="2" t="s">
        <v>11</v>
      </c>
      <c r="E49" s="2" t="s">
        <v>22</v>
      </c>
      <c r="F49" s="2" t="s">
        <v>51</v>
      </c>
      <c r="G49" s="2">
        <v>45</v>
      </c>
      <c r="H49" s="3">
        <v>388.52</v>
      </c>
      <c r="I49" s="3">
        <v>17483.400000000001</v>
      </c>
      <c r="J49" s="3">
        <v>10709.86</v>
      </c>
      <c r="K49" s="3">
        <v>6773.54</v>
      </c>
      <c r="L49" s="2" t="s">
        <v>37</v>
      </c>
      <c r="M49" s="2">
        <v>4.2</v>
      </c>
    </row>
    <row r="50" spans="1:13" x14ac:dyDescent="0.25">
      <c r="A50" s="2" t="s">
        <v>113</v>
      </c>
      <c r="B50" s="11">
        <v>45333</v>
      </c>
      <c r="C50" s="2" t="s">
        <v>67</v>
      </c>
      <c r="D50" s="2" t="s">
        <v>68</v>
      </c>
      <c r="E50" s="2" t="s">
        <v>22</v>
      </c>
      <c r="F50" s="2" t="s">
        <v>43</v>
      </c>
      <c r="G50" s="2">
        <v>28</v>
      </c>
      <c r="H50" s="3">
        <v>334.15</v>
      </c>
      <c r="I50" s="3">
        <v>9356.2000000000007</v>
      </c>
      <c r="J50" s="3">
        <v>3903.77</v>
      </c>
      <c r="K50" s="3">
        <v>5452.43</v>
      </c>
      <c r="L50" s="2" t="s">
        <v>37</v>
      </c>
      <c r="M50" s="2">
        <v>4.3</v>
      </c>
    </row>
    <row r="51" spans="1:13" x14ac:dyDescent="0.25">
      <c r="A51" s="2" t="s">
        <v>114</v>
      </c>
      <c r="B51" s="11">
        <v>45326</v>
      </c>
      <c r="C51" s="2" t="s">
        <v>10</v>
      </c>
      <c r="D51" s="2" t="s">
        <v>115</v>
      </c>
      <c r="E51" s="2" t="s">
        <v>25</v>
      </c>
      <c r="F51" s="2" t="s">
        <v>45</v>
      </c>
      <c r="G51" s="2">
        <v>24</v>
      </c>
      <c r="H51" s="3">
        <v>321.44</v>
      </c>
      <c r="I51" s="3">
        <v>7714.56</v>
      </c>
      <c r="J51" s="3">
        <v>4684.1000000000004</v>
      </c>
      <c r="K51" s="3">
        <v>3030.46</v>
      </c>
      <c r="L51" s="2" t="s">
        <v>37</v>
      </c>
      <c r="M51" s="2">
        <v>4.4000000000000004</v>
      </c>
    </row>
    <row r="52" spans="1:13" x14ac:dyDescent="0.25">
      <c r="A52" s="2" t="s">
        <v>116</v>
      </c>
      <c r="B52" s="11">
        <v>45354</v>
      </c>
      <c r="C52" s="2" t="s">
        <v>14</v>
      </c>
      <c r="D52" s="2" t="s">
        <v>117</v>
      </c>
      <c r="E52" s="2" t="s">
        <v>26</v>
      </c>
      <c r="F52" s="2" t="s">
        <v>36</v>
      </c>
      <c r="G52" s="2">
        <v>35</v>
      </c>
      <c r="H52" s="3">
        <v>389.57</v>
      </c>
      <c r="I52" s="3">
        <v>13634.95</v>
      </c>
      <c r="J52" s="3">
        <v>7038.61</v>
      </c>
      <c r="K52" s="3">
        <v>6596.34</v>
      </c>
      <c r="L52" s="2" t="s">
        <v>37</v>
      </c>
      <c r="M52" s="2">
        <v>4.7</v>
      </c>
    </row>
    <row r="53" spans="1:13" x14ac:dyDescent="0.25">
      <c r="A53" s="2" t="s">
        <v>118</v>
      </c>
      <c r="B53" s="11">
        <v>45364</v>
      </c>
      <c r="C53" s="2" t="s">
        <v>12</v>
      </c>
      <c r="D53" s="2" t="s">
        <v>11</v>
      </c>
      <c r="E53" s="2" t="s">
        <v>26</v>
      </c>
      <c r="F53" s="2" t="s">
        <v>43</v>
      </c>
      <c r="G53" s="2">
        <v>18</v>
      </c>
      <c r="H53" s="3">
        <v>442</v>
      </c>
      <c r="I53" s="3">
        <v>7956</v>
      </c>
      <c r="J53" s="3">
        <v>3667.44</v>
      </c>
      <c r="K53" s="3">
        <v>4288.5600000000004</v>
      </c>
      <c r="L53" s="2" t="s">
        <v>37</v>
      </c>
      <c r="M53" s="2">
        <v>3.9</v>
      </c>
    </row>
    <row r="54" spans="1:13" x14ac:dyDescent="0.25">
      <c r="A54" s="2" t="s">
        <v>119</v>
      </c>
      <c r="B54" s="11">
        <v>45355</v>
      </c>
      <c r="C54" s="2" t="s">
        <v>19</v>
      </c>
      <c r="D54" s="2" t="s">
        <v>49</v>
      </c>
      <c r="E54" s="2" t="s">
        <v>24</v>
      </c>
      <c r="F54" s="2" t="s">
        <v>51</v>
      </c>
      <c r="G54" s="2">
        <v>12</v>
      </c>
      <c r="H54" s="3">
        <v>248.9</v>
      </c>
      <c r="I54" s="3">
        <v>2986.8</v>
      </c>
      <c r="J54" s="3">
        <v>1459.67</v>
      </c>
      <c r="K54" s="3">
        <v>1527.13</v>
      </c>
      <c r="L54" s="2" t="s">
        <v>37</v>
      </c>
      <c r="M54" s="2">
        <v>3.5</v>
      </c>
    </row>
    <row r="55" spans="1:13" x14ac:dyDescent="0.25">
      <c r="A55" s="2" t="s">
        <v>120</v>
      </c>
      <c r="B55" s="11">
        <v>45363</v>
      </c>
      <c r="C55" s="2" t="s">
        <v>14</v>
      </c>
      <c r="D55" s="2" t="s">
        <v>117</v>
      </c>
      <c r="E55" s="2" t="s">
        <v>25</v>
      </c>
      <c r="F55" s="2" t="s">
        <v>43</v>
      </c>
      <c r="G55" s="2">
        <v>1</v>
      </c>
      <c r="H55" s="3">
        <v>263.14999999999998</v>
      </c>
      <c r="I55" s="3">
        <v>263.14999999999998</v>
      </c>
      <c r="J55" s="3">
        <v>117.83</v>
      </c>
      <c r="K55" s="3">
        <v>145.32</v>
      </c>
      <c r="L55" s="2" t="s">
        <v>37</v>
      </c>
      <c r="M55" s="2">
        <v>3.5</v>
      </c>
    </row>
    <row r="56" spans="1:13" x14ac:dyDescent="0.25">
      <c r="A56" s="2" t="s">
        <v>121</v>
      </c>
      <c r="B56" s="11">
        <v>45379</v>
      </c>
      <c r="C56" s="2" t="s">
        <v>12</v>
      </c>
      <c r="D56" s="2" t="s">
        <v>97</v>
      </c>
      <c r="E56" s="2" t="s">
        <v>24</v>
      </c>
      <c r="F56" s="2" t="s">
        <v>45</v>
      </c>
      <c r="G56" s="2">
        <v>42</v>
      </c>
      <c r="H56" s="3">
        <v>358.8</v>
      </c>
      <c r="I56" s="3">
        <v>15069.6</v>
      </c>
      <c r="J56" s="3">
        <v>7716.29</v>
      </c>
      <c r="K56" s="3">
        <v>7353.31</v>
      </c>
      <c r="L56" s="2" t="s">
        <v>37</v>
      </c>
      <c r="M56" s="2">
        <v>3</v>
      </c>
    </row>
    <row r="57" spans="1:13" x14ac:dyDescent="0.25">
      <c r="A57" s="2" t="s">
        <v>122</v>
      </c>
      <c r="B57" s="11">
        <v>45363</v>
      </c>
      <c r="C57" s="2" t="s">
        <v>12</v>
      </c>
      <c r="D57" s="2" t="s">
        <v>73</v>
      </c>
      <c r="E57" s="2" t="s">
        <v>25</v>
      </c>
      <c r="F57" s="2" t="s">
        <v>51</v>
      </c>
      <c r="G57" s="2">
        <v>43</v>
      </c>
      <c r="H57" s="3">
        <v>294.95999999999998</v>
      </c>
      <c r="I57" s="3">
        <v>12683.28</v>
      </c>
      <c r="J57" s="3">
        <v>6573.94</v>
      </c>
      <c r="K57" s="3">
        <v>6109.34</v>
      </c>
      <c r="L57" s="2" t="s">
        <v>37</v>
      </c>
      <c r="M57" s="2">
        <v>4.0999999999999996</v>
      </c>
    </row>
    <row r="58" spans="1:13" x14ac:dyDescent="0.25">
      <c r="A58" s="2" t="s">
        <v>123</v>
      </c>
      <c r="B58" s="11">
        <v>45371</v>
      </c>
      <c r="C58" s="2" t="s">
        <v>19</v>
      </c>
      <c r="D58" s="2" t="s">
        <v>49</v>
      </c>
      <c r="E58" s="2" t="s">
        <v>22</v>
      </c>
      <c r="F58" s="2" t="s">
        <v>51</v>
      </c>
      <c r="G58" s="2">
        <v>20</v>
      </c>
      <c r="H58" s="3">
        <v>133.19</v>
      </c>
      <c r="I58" s="3">
        <v>2663.8</v>
      </c>
      <c r="J58" s="3">
        <v>1145.8699999999999</v>
      </c>
      <c r="K58" s="3">
        <v>1517.93</v>
      </c>
      <c r="L58" s="2" t="s">
        <v>77</v>
      </c>
      <c r="M58" s="2">
        <v>3.4</v>
      </c>
    </row>
    <row r="59" spans="1:13" x14ac:dyDescent="0.25">
      <c r="A59" s="2" t="s">
        <v>124</v>
      </c>
      <c r="B59" s="11">
        <v>45360</v>
      </c>
      <c r="C59" s="2" t="s">
        <v>17</v>
      </c>
      <c r="D59" s="2" t="s">
        <v>16</v>
      </c>
      <c r="E59" s="2" t="s">
        <v>26</v>
      </c>
      <c r="F59" s="2" t="s">
        <v>51</v>
      </c>
      <c r="G59" s="2">
        <v>14</v>
      </c>
      <c r="H59" s="3">
        <v>371.92</v>
      </c>
      <c r="I59" s="3">
        <v>5206.88</v>
      </c>
      <c r="J59" s="3">
        <v>2442.6799999999998</v>
      </c>
      <c r="K59" s="3">
        <v>2764.2</v>
      </c>
      <c r="L59" s="2" t="s">
        <v>37</v>
      </c>
      <c r="M59" s="2">
        <v>4.2</v>
      </c>
    </row>
    <row r="60" spans="1:13" x14ac:dyDescent="0.25">
      <c r="A60" s="2" t="s">
        <v>125</v>
      </c>
      <c r="B60" s="11">
        <v>45377</v>
      </c>
      <c r="C60" s="2" t="s">
        <v>10</v>
      </c>
      <c r="D60" s="2" t="s">
        <v>15</v>
      </c>
      <c r="E60" s="2" t="s">
        <v>26</v>
      </c>
      <c r="F60" s="2" t="s">
        <v>45</v>
      </c>
      <c r="G60" s="2">
        <v>19</v>
      </c>
      <c r="H60" s="3">
        <v>121.47</v>
      </c>
      <c r="I60" s="3">
        <v>2307.9299999999998</v>
      </c>
      <c r="J60" s="3">
        <v>1026.71</v>
      </c>
      <c r="K60" s="3">
        <v>1281.22</v>
      </c>
      <c r="L60" s="2" t="s">
        <v>37</v>
      </c>
      <c r="M60" s="2">
        <v>3</v>
      </c>
    </row>
    <row r="61" spans="1:13" x14ac:dyDescent="0.25">
      <c r="A61" s="2" t="s">
        <v>126</v>
      </c>
      <c r="B61" s="11">
        <v>45353</v>
      </c>
      <c r="C61" s="2" t="s">
        <v>6</v>
      </c>
      <c r="D61" s="2" t="s">
        <v>61</v>
      </c>
      <c r="E61" s="2" t="s">
        <v>25</v>
      </c>
      <c r="F61" s="2" t="s">
        <v>40</v>
      </c>
      <c r="G61" s="2">
        <v>19</v>
      </c>
      <c r="H61" s="3">
        <v>351.73</v>
      </c>
      <c r="I61" s="3">
        <v>6682.87</v>
      </c>
      <c r="J61" s="3">
        <v>2884.13</v>
      </c>
      <c r="K61" s="3">
        <v>3798.74</v>
      </c>
      <c r="L61" s="2" t="s">
        <v>37</v>
      </c>
      <c r="M61" s="2">
        <v>4.7</v>
      </c>
    </row>
    <row r="62" spans="1:13" x14ac:dyDescent="0.25">
      <c r="A62" s="2" t="s">
        <v>127</v>
      </c>
      <c r="B62" s="11">
        <v>45375</v>
      </c>
      <c r="C62" s="2" t="s">
        <v>14</v>
      </c>
      <c r="D62" s="2" t="s">
        <v>85</v>
      </c>
      <c r="E62" s="2" t="s">
        <v>25</v>
      </c>
      <c r="F62" s="2" t="s">
        <v>40</v>
      </c>
      <c r="G62" s="2">
        <v>31</v>
      </c>
      <c r="H62" s="3">
        <v>225.83</v>
      </c>
      <c r="I62" s="3">
        <v>7000.73</v>
      </c>
      <c r="J62" s="3">
        <v>3122.96</v>
      </c>
      <c r="K62" s="3">
        <v>3877.77</v>
      </c>
      <c r="L62" s="2" t="s">
        <v>37</v>
      </c>
      <c r="M62" s="2">
        <v>3.1</v>
      </c>
    </row>
    <row r="63" spans="1:13" x14ac:dyDescent="0.25">
      <c r="A63" s="2" t="s">
        <v>128</v>
      </c>
      <c r="B63" s="11">
        <v>45366</v>
      </c>
      <c r="C63" s="2" t="s">
        <v>21</v>
      </c>
      <c r="D63" s="2" t="s">
        <v>129</v>
      </c>
      <c r="E63" s="2" t="s">
        <v>26</v>
      </c>
      <c r="F63" s="2" t="s">
        <v>36</v>
      </c>
      <c r="G63" s="2">
        <v>5</v>
      </c>
      <c r="H63" s="3">
        <v>292.74</v>
      </c>
      <c r="I63" s="3">
        <v>1463.7</v>
      </c>
      <c r="J63" s="3">
        <v>836.67</v>
      </c>
      <c r="K63" s="3">
        <v>627.03</v>
      </c>
      <c r="L63" s="2" t="s">
        <v>37</v>
      </c>
      <c r="M63" s="2">
        <v>3.3</v>
      </c>
    </row>
    <row r="64" spans="1:13" x14ac:dyDescent="0.25">
      <c r="A64" s="2" t="s">
        <v>130</v>
      </c>
      <c r="B64" s="11">
        <v>45369</v>
      </c>
      <c r="C64" s="2" t="s">
        <v>12</v>
      </c>
      <c r="D64" s="2" t="s">
        <v>11</v>
      </c>
      <c r="E64" s="2" t="s">
        <v>23</v>
      </c>
      <c r="F64" s="2" t="s">
        <v>51</v>
      </c>
      <c r="G64" s="2">
        <v>36</v>
      </c>
      <c r="H64" s="3">
        <v>384.58</v>
      </c>
      <c r="I64" s="3">
        <v>13844.88</v>
      </c>
      <c r="J64" s="3">
        <v>7636.55</v>
      </c>
      <c r="K64" s="3">
        <v>6208.33</v>
      </c>
      <c r="L64" s="2" t="s">
        <v>37</v>
      </c>
      <c r="M64" s="2">
        <v>4.5999999999999996</v>
      </c>
    </row>
    <row r="65" spans="1:13" x14ac:dyDescent="0.25">
      <c r="A65" s="2" t="s">
        <v>131</v>
      </c>
      <c r="B65" s="11">
        <v>45355</v>
      </c>
      <c r="C65" s="2" t="s">
        <v>19</v>
      </c>
      <c r="D65" s="2" t="s">
        <v>49</v>
      </c>
      <c r="E65" s="2" t="s">
        <v>26</v>
      </c>
      <c r="F65" s="2" t="s">
        <v>40</v>
      </c>
      <c r="G65" s="2">
        <v>38</v>
      </c>
      <c r="H65" s="3">
        <v>495.12</v>
      </c>
      <c r="I65" s="3">
        <v>18814.560000000001</v>
      </c>
      <c r="J65" s="3">
        <v>8962.2199999999993</v>
      </c>
      <c r="K65" s="3">
        <v>9852.34</v>
      </c>
      <c r="L65" s="2" t="s">
        <v>77</v>
      </c>
      <c r="M65" s="2">
        <v>4.2</v>
      </c>
    </row>
    <row r="66" spans="1:13" x14ac:dyDescent="0.25">
      <c r="A66" s="2" t="s">
        <v>132</v>
      </c>
      <c r="B66" s="11">
        <v>45364</v>
      </c>
      <c r="C66" s="2" t="s">
        <v>12</v>
      </c>
      <c r="D66" s="2" t="s">
        <v>71</v>
      </c>
      <c r="E66" s="2" t="s">
        <v>22</v>
      </c>
      <c r="F66" s="2" t="s">
        <v>45</v>
      </c>
      <c r="G66" s="2">
        <v>17</v>
      </c>
      <c r="H66" s="3">
        <v>333.61</v>
      </c>
      <c r="I66" s="3">
        <v>5671.37</v>
      </c>
      <c r="J66" s="3">
        <v>2491.23</v>
      </c>
      <c r="K66" s="3">
        <v>3180.14</v>
      </c>
      <c r="L66" s="2" t="s">
        <v>37</v>
      </c>
      <c r="M66" s="2">
        <v>3.3</v>
      </c>
    </row>
    <row r="67" spans="1:13" x14ac:dyDescent="0.25">
      <c r="A67" s="2" t="s">
        <v>133</v>
      </c>
      <c r="B67" s="11">
        <v>45354</v>
      </c>
      <c r="C67" s="2" t="s">
        <v>19</v>
      </c>
      <c r="D67" s="2" t="s">
        <v>65</v>
      </c>
      <c r="E67" s="2" t="s">
        <v>25</v>
      </c>
      <c r="F67" s="2" t="s">
        <v>40</v>
      </c>
      <c r="G67" s="2">
        <v>31</v>
      </c>
      <c r="H67" s="3">
        <v>152.72</v>
      </c>
      <c r="I67" s="3">
        <v>4734.32</v>
      </c>
      <c r="J67" s="3">
        <v>2167.6999999999998</v>
      </c>
      <c r="K67" s="3">
        <v>2566.62</v>
      </c>
      <c r="L67" s="2" t="s">
        <v>37</v>
      </c>
      <c r="M67" s="2">
        <v>4.4000000000000004</v>
      </c>
    </row>
    <row r="68" spans="1:13" x14ac:dyDescent="0.25">
      <c r="A68" s="2" t="s">
        <v>134</v>
      </c>
      <c r="B68" s="11">
        <v>45369</v>
      </c>
      <c r="C68" s="2" t="s">
        <v>14</v>
      </c>
      <c r="D68" s="2" t="s">
        <v>117</v>
      </c>
      <c r="E68" s="2" t="s">
        <v>23</v>
      </c>
      <c r="F68" s="2" t="s">
        <v>45</v>
      </c>
      <c r="G68" s="2">
        <v>43</v>
      </c>
      <c r="H68" s="3">
        <v>403.91</v>
      </c>
      <c r="I68" s="3">
        <v>17368.13</v>
      </c>
      <c r="J68" s="3">
        <v>7806.19</v>
      </c>
      <c r="K68" s="3">
        <v>9561.94</v>
      </c>
      <c r="L68" s="2" t="s">
        <v>47</v>
      </c>
      <c r="M68" s="2">
        <v>3.2</v>
      </c>
    </row>
    <row r="69" spans="1:13" x14ac:dyDescent="0.25">
      <c r="A69" s="2" t="s">
        <v>135</v>
      </c>
      <c r="B69" s="11">
        <v>45361</v>
      </c>
      <c r="C69" s="2" t="s">
        <v>17</v>
      </c>
      <c r="D69" s="2" t="s">
        <v>53</v>
      </c>
      <c r="E69" s="2" t="s">
        <v>26</v>
      </c>
      <c r="F69" s="2" t="s">
        <v>36</v>
      </c>
      <c r="G69" s="2">
        <v>4</v>
      </c>
      <c r="H69" s="3">
        <v>91.3</v>
      </c>
      <c r="I69" s="3">
        <v>365.2</v>
      </c>
      <c r="J69" s="3">
        <v>174.16</v>
      </c>
      <c r="K69" s="3">
        <v>191.04</v>
      </c>
      <c r="L69" s="2" t="s">
        <v>37</v>
      </c>
      <c r="M69" s="2">
        <v>4.5</v>
      </c>
    </row>
    <row r="70" spans="1:13" x14ac:dyDescent="0.25">
      <c r="A70" s="2" t="s">
        <v>136</v>
      </c>
      <c r="B70" s="11">
        <v>45378</v>
      </c>
      <c r="C70" s="2" t="s">
        <v>19</v>
      </c>
      <c r="D70" s="2" t="s">
        <v>49</v>
      </c>
      <c r="E70" s="2" t="s">
        <v>25</v>
      </c>
      <c r="F70" s="2" t="s">
        <v>40</v>
      </c>
      <c r="G70" s="2">
        <v>45</v>
      </c>
      <c r="H70" s="3">
        <v>207.23</v>
      </c>
      <c r="I70" s="3">
        <v>9325.35</v>
      </c>
      <c r="J70" s="3">
        <v>4364.84</v>
      </c>
      <c r="K70" s="3">
        <v>4960.51</v>
      </c>
      <c r="L70" s="2" t="s">
        <v>37</v>
      </c>
      <c r="M70" s="2">
        <v>4.0999999999999996</v>
      </c>
    </row>
    <row r="71" spans="1:13" x14ac:dyDescent="0.25">
      <c r="A71" s="2" t="s">
        <v>137</v>
      </c>
      <c r="B71" s="11">
        <v>45372</v>
      </c>
      <c r="C71" s="2" t="s">
        <v>21</v>
      </c>
      <c r="D71" s="2" t="s">
        <v>106</v>
      </c>
      <c r="E71" s="2" t="s">
        <v>26</v>
      </c>
      <c r="F71" s="2" t="s">
        <v>51</v>
      </c>
      <c r="G71" s="2">
        <v>39</v>
      </c>
      <c r="H71" s="3">
        <v>132.68</v>
      </c>
      <c r="I71" s="3">
        <v>5174.5200000000004</v>
      </c>
      <c r="J71" s="3">
        <v>2187.9499999999998</v>
      </c>
      <c r="K71" s="3">
        <v>2986.57</v>
      </c>
      <c r="L71" s="2" t="s">
        <v>77</v>
      </c>
      <c r="M71" s="2">
        <v>4.9000000000000004</v>
      </c>
    </row>
    <row r="72" spans="1:13" x14ac:dyDescent="0.25">
      <c r="A72" s="2" t="s">
        <v>138</v>
      </c>
      <c r="B72" s="11">
        <v>45371</v>
      </c>
      <c r="C72" s="2" t="s">
        <v>14</v>
      </c>
      <c r="D72" s="2" t="s">
        <v>117</v>
      </c>
      <c r="E72" s="2" t="s">
        <v>25</v>
      </c>
      <c r="F72" s="2" t="s">
        <v>36</v>
      </c>
      <c r="G72" s="2">
        <v>3</v>
      </c>
      <c r="H72" s="3">
        <v>383.92</v>
      </c>
      <c r="I72" s="3">
        <v>1151.76</v>
      </c>
      <c r="J72" s="3">
        <v>511.15</v>
      </c>
      <c r="K72" s="3">
        <v>640.61</v>
      </c>
      <c r="L72" s="2" t="s">
        <v>37</v>
      </c>
      <c r="M72" s="2">
        <v>4</v>
      </c>
    </row>
    <row r="73" spans="1:13" x14ac:dyDescent="0.25">
      <c r="A73" s="2" t="s">
        <v>139</v>
      </c>
      <c r="B73" s="11">
        <v>45379</v>
      </c>
      <c r="C73" s="2" t="s">
        <v>21</v>
      </c>
      <c r="D73" s="2" t="s">
        <v>129</v>
      </c>
      <c r="E73" s="2" t="s">
        <v>22</v>
      </c>
      <c r="F73" s="2" t="s">
        <v>45</v>
      </c>
      <c r="G73" s="2">
        <v>6</v>
      </c>
      <c r="H73" s="3">
        <v>240.31</v>
      </c>
      <c r="I73" s="3">
        <v>1441.86</v>
      </c>
      <c r="J73" s="3">
        <v>723.94</v>
      </c>
      <c r="K73" s="3">
        <v>717.92</v>
      </c>
      <c r="L73" s="2" t="s">
        <v>37</v>
      </c>
      <c r="M73" s="2">
        <v>3.6</v>
      </c>
    </row>
    <row r="74" spans="1:13" x14ac:dyDescent="0.25">
      <c r="A74" s="2" t="s">
        <v>140</v>
      </c>
      <c r="B74" s="11">
        <v>45363</v>
      </c>
      <c r="C74" s="2" t="s">
        <v>19</v>
      </c>
      <c r="D74" s="2" t="s">
        <v>49</v>
      </c>
      <c r="E74" s="2" t="s">
        <v>25</v>
      </c>
      <c r="F74" s="2" t="s">
        <v>40</v>
      </c>
      <c r="G74" s="2">
        <v>43</v>
      </c>
      <c r="H74" s="3">
        <v>473.14</v>
      </c>
      <c r="I74" s="3">
        <v>20345.02</v>
      </c>
      <c r="J74" s="3">
        <v>12276.01</v>
      </c>
      <c r="K74" s="3">
        <v>8069.01</v>
      </c>
      <c r="L74" s="2" t="s">
        <v>37</v>
      </c>
      <c r="M74" s="2">
        <v>4.0999999999999996</v>
      </c>
    </row>
    <row r="75" spans="1:13" x14ac:dyDescent="0.25">
      <c r="A75" s="2" t="s">
        <v>141</v>
      </c>
      <c r="B75" s="11">
        <v>45370</v>
      </c>
      <c r="C75" s="2" t="s">
        <v>67</v>
      </c>
      <c r="D75" s="2" t="s">
        <v>89</v>
      </c>
      <c r="E75" s="2" t="s">
        <v>26</v>
      </c>
      <c r="F75" s="2" t="s">
        <v>43</v>
      </c>
      <c r="G75" s="2">
        <v>50</v>
      </c>
      <c r="H75" s="3">
        <v>208.05</v>
      </c>
      <c r="I75" s="3">
        <v>10402.5</v>
      </c>
      <c r="J75" s="3">
        <v>5499.27</v>
      </c>
      <c r="K75" s="3">
        <v>4903.2299999999996</v>
      </c>
      <c r="L75" s="2" t="s">
        <v>37</v>
      </c>
      <c r="M75" s="2">
        <v>5</v>
      </c>
    </row>
    <row r="76" spans="1:13" x14ac:dyDescent="0.25">
      <c r="A76" s="2" t="s">
        <v>142</v>
      </c>
      <c r="B76" s="11">
        <v>45358</v>
      </c>
      <c r="C76" s="2" t="s">
        <v>12</v>
      </c>
      <c r="D76" s="2" t="s">
        <v>42</v>
      </c>
      <c r="E76" s="2" t="s">
        <v>22</v>
      </c>
      <c r="F76" s="2" t="s">
        <v>45</v>
      </c>
      <c r="G76" s="2">
        <v>24</v>
      </c>
      <c r="H76" s="3">
        <v>315.08999999999997</v>
      </c>
      <c r="I76" s="3">
        <v>7562.16</v>
      </c>
      <c r="J76" s="3">
        <v>3967.29</v>
      </c>
      <c r="K76" s="3">
        <v>3594.87</v>
      </c>
      <c r="L76" s="2" t="s">
        <v>37</v>
      </c>
      <c r="M76" s="2">
        <v>3.9</v>
      </c>
    </row>
    <row r="77" spans="1:13" x14ac:dyDescent="0.25">
      <c r="A77" s="2" t="s">
        <v>143</v>
      </c>
      <c r="B77" s="11">
        <v>45405</v>
      </c>
      <c r="C77" s="2" t="s">
        <v>17</v>
      </c>
      <c r="D77" s="2" t="s">
        <v>59</v>
      </c>
      <c r="E77" s="2" t="s">
        <v>26</v>
      </c>
      <c r="F77" s="2" t="s">
        <v>45</v>
      </c>
      <c r="G77" s="2">
        <v>29</v>
      </c>
      <c r="H77" s="3">
        <v>441.61</v>
      </c>
      <c r="I77" s="3">
        <v>12806.69</v>
      </c>
      <c r="J77" s="3">
        <v>6674.56</v>
      </c>
      <c r="K77" s="3">
        <v>6132.13</v>
      </c>
      <c r="L77" s="2" t="s">
        <v>37</v>
      </c>
      <c r="M77" s="2">
        <v>3.1</v>
      </c>
    </row>
    <row r="78" spans="1:13" x14ac:dyDescent="0.25">
      <c r="A78" s="2" t="s">
        <v>144</v>
      </c>
      <c r="B78" s="11">
        <v>45385</v>
      </c>
      <c r="C78" s="2" t="s">
        <v>14</v>
      </c>
      <c r="D78" s="2" t="s">
        <v>117</v>
      </c>
      <c r="E78" s="2" t="s">
        <v>22</v>
      </c>
      <c r="F78" s="2" t="s">
        <v>43</v>
      </c>
      <c r="G78" s="2">
        <v>1</v>
      </c>
      <c r="H78" s="3">
        <v>280.60000000000002</v>
      </c>
      <c r="I78" s="3">
        <v>280.60000000000002</v>
      </c>
      <c r="J78" s="3">
        <v>118.78</v>
      </c>
      <c r="K78" s="3">
        <v>161.82</v>
      </c>
      <c r="L78" s="2" t="s">
        <v>77</v>
      </c>
      <c r="M78" s="2">
        <v>5</v>
      </c>
    </row>
    <row r="79" spans="1:13" x14ac:dyDescent="0.25">
      <c r="A79" s="2" t="s">
        <v>145</v>
      </c>
      <c r="B79" s="11">
        <v>45384</v>
      </c>
      <c r="C79" s="2" t="s">
        <v>17</v>
      </c>
      <c r="D79" s="2" t="s">
        <v>104</v>
      </c>
      <c r="E79" s="2" t="s">
        <v>25</v>
      </c>
      <c r="F79" s="2" t="s">
        <v>43</v>
      </c>
      <c r="G79" s="2">
        <v>46</v>
      </c>
      <c r="H79" s="3">
        <v>153.01</v>
      </c>
      <c r="I79" s="3">
        <v>7038.46</v>
      </c>
      <c r="J79" s="3">
        <v>4056.64</v>
      </c>
      <c r="K79" s="3">
        <v>2981.82</v>
      </c>
      <c r="L79" s="2" t="s">
        <v>37</v>
      </c>
      <c r="M79" s="2">
        <v>3.8</v>
      </c>
    </row>
    <row r="80" spans="1:13" x14ac:dyDescent="0.25">
      <c r="A80" s="2" t="s">
        <v>146</v>
      </c>
      <c r="B80" s="11">
        <v>45404</v>
      </c>
      <c r="C80" s="2" t="s">
        <v>17</v>
      </c>
      <c r="D80" s="2" t="s">
        <v>104</v>
      </c>
      <c r="E80" s="2" t="s">
        <v>22</v>
      </c>
      <c r="F80" s="2" t="s">
        <v>36</v>
      </c>
      <c r="G80" s="2">
        <v>13</v>
      </c>
      <c r="H80" s="3">
        <v>461.72</v>
      </c>
      <c r="I80" s="3">
        <v>6002.36</v>
      </c>
      <c r="J80" s="3">
        <v>3163.61</v>
      </c>
      <c r="K80" s="3">
        <v>2838.75</v>
      </c>
      <c r="L80" s="2" t="s">
        <v>37</v>
      </c>
      <c r="M80" s="2">
        <v>4.8</v>
      </c>
    </row>
    <row r="81" spans="1:13" x14ac:dyDescent="0.25">
      <c r="A81" s="2" t="s">
        <v>147</v>
      </c>
      <c r="B81" s="11">
        <v>45390</v>
      </c>
      <c r="C81" s="2" t="s">
        <v>21</v>
      </c>
      <c r="D81" s="2" t="s">
        <v>106</v>
      </c>
      <c r="E81" s="2" t="s">
        <v>26</v>
      </c>
      <c r="F81" s="2" t="s">
        <v>51</v>
      </c>
      <c r="G81" s="2">
        <v>33</v>
      </c>
      <c r="H81" s="3">
        <v>140.91</v>
      </c>
      <c r="I81" s="3">
        <v>4650.03</v>
      </c>
      <c r="J81" s="3">
        <v>1862.99</v>
      </c>
      <c r="K81" s="3">
        <v>2787.04</v>
      </c>
      <c r="L81" s="2" t="s">
        <v>77</v>
      </c>
      <c r="M81" s="2">
        <v>4.5</v>
      </c>
    </row>
    <row r="82" spans="1:13" x14ac:dyDescent="0.25">
      <c r="A82" s="2" t="s">
        <v>148</v>
      </c>
      <c r="B82" s="11">
        <v>45407</v>
      </c>
      <c r="C82" s="2" t="s">
        <v>19</v>
      </c>
      <c r="D82" s="2" t="s">
        <v>18</v>
      </c>
      <c r="E82" s="2" t="s">
        <v>26</v>
      </c>
      <c r="F82" s="2" t="s">
        <v>43</v>
      </c>
      <c r="G82" s="2">
        <v>29</v>
      </c>
      <c r="H82" s="3">
        <v>273.89999999999998</v>
      </c>
      <c r="I82" s="3">
        <v>7943.1</v>
      </c>
      <c r="J82" s="3">
        <v>3862.58</v>
      </c>
      <c r="K82" s="3">
        <v>4080.52</v>
      </c>
      <c r="L82" s="2" t="s">
        <v>37</v>
      </c>
      <c r="M82" s="2">
        <v>4.0999999999999996</v>
      </c>
    </row>
    <row r="83" spans="1:13" x14ac:dyDescent="0.25">
      <c r="A83" s="2" t="s">
        <v>149</v>
      </c>
      <c r="B83" s="11">
        <v>45392</v>
      </c>
      <c r="C83" s="2" t="s">
        <v>67</v>
      </c>
      <c r="D83" s="2" t="s">
        <v>110</v>
      </c>
      <c r="E83" s="2" t="s">
        <v>25</v>
      </c>
      <c r="F83" s="2" t="s">
        <v>40</v>
      </c>
      <c r="G83" s="2">
        <v>45</v>
      </c>
      <c r="H83" s="3">
        <v>127.01</v>
      </c>
      <c r="I83" s="3">
        <v>5715.45</v>
      </c>
      <c r="J83" s="3">
        <v>2833.39</v>
      </c>
      <c r="K83" s="3">
        <v>2882.06</v>
      </c>
      <c r="L83" s="2" t="s">
        <v>37</v>
      </c>
      <c r="M83" s="2">
        <v>4.7</v>
      </c>
    </row>
    <row r="84" spans="1:13" x14ac:dyDescent="0.25">
      <c r="A84" s="2" t="s">
        <v>150</v>
      </c>
      <c r="B84" s="11">
        <v>45385</v>
      </c>
      <c r="C84" s="2" t="s">
        <v>19</v>
      </c>
      <c r="D84" s="2" t="s">
        <v>87</v>
      </c>
      <c r="E84" s="2" t="s">
        <v>23</v>
      </c>
      <c r="F84" s="2" t="s">
        <v>43</v>
      </c>
      <c r="G84" s="2">
        <v>25</v>
      </c>
      <c r="H84" s="3">
        <v>494.32</v>
      </c>
      <c r="I84" s="3">
        <v>12358</v>
      </c>
      <c r="J84" s="3">
        <v>7391.3</v>
      </c>
      <c r="K84" s="3">
        <v>4966.7</v>
      </c>
      <c r="L84" s="2" t="s">
        <v>77</v>
      </c>
      <c r="M84" s="2">
        <v>4.3</v>
      </c>
    </row>
    <row r="85" spans="1:13" x14ac:dyDescent="0.25">
      <c r="A85" s="2" t="s">
        <v>151</v>
      </c>
      <c r="B85" s="11">
        <v>45410</v>
      </c>
      <c r="C85" s="2" t="s">
        <v>17</v>
      </c>
      <c r="D85" s="2" t="s">
        <v>102</v>
      </c>
      <c r="E85" s="2" t="s">
        <v>22</v>
      </c>
      <c r="F85" s="2" t="s">
        <v>51</v>
      </c>
      <c r="G85" s="2">
        <v>38</v>
      </c>
      <c r="H85" s="3">
        <v>172.68</v>
      </c>
      <c r="I85" s="3">
        <v>6561.84</v>
      </c>
      <c r="J85" s="3">
        <v>2789.38</v>
      </c>
      <c r="K85" s="3">
        <v>3772.46</v>
      </c>
      <c r="L85" s="2" t="s">
        <v>47</v>
      </c>
      <c r="M85" s="2">
        <v>4.7</v>
      </c>
    </row>
    <row r="86" spans="1:13" x14ac:dyDescent="0.25">
      <c r="A86" s="2" t="s">
        <v>152</v>
      </c>
      <c r="B86" s="11">
        <v>45390</v>
      </c>
      <c r="C86" s="2" t="s">
        <v>6</v>
      </c>
      <c r="D86" s="2" t="s">
        <v>7</v>
      </c>
      <c r="E86" s="2" t="s">
        <v>24</v>
      </c>
      <c r="F86" s="2" t="s">
        <v>36</v>
      </c>
      <c r="G86" s="2">
        <v>27</v>
      </c>
      <c r="H86" s="3">
        <v>436.76</v>
      </c>
      <c r="I86" s="3">
        <v>11792.52</v>
      </c>
      <c r="J86" s="3">
        <v>7576.57</v>
      </c>
      <c r="K86" s="3">
        <v>4215.95</v>
      </c>
      <c r="L86" s="2" t="s">
        <v>37</v>
      </c>
      <c r="M86" s="2">
        <v>3.1</v>
      </c>
    </row>
    <row r="87" spans="1:13" x14ac:dyDescent="0.25">
      <c r="A87" s="2" t="s">
        <v>153</v>
      </c>
      <c r="B87" s="11">
        <v>45410</v>
      </c>
      <c r="C87" s="2" t="s">
        <v>21</v>
      </c>
      <c r="D87" s="2" t="s">
        <v>20</v>
      </c>
      <c r="E87" s="2" t="s">
        <v>24</v>
      </c>
      <c r="F87" s="2" t="s">
        <v>43</v>
      </c>
      <c r="G87" s="2">
        <v>22</v>
      </c>
      <c r="H87" s="3">
        <v>427.65</v>
      </c>
      <c r="I87" s="3">
        <v>9408.2999999999993</v>
      </c>
      <c r="J87" s="3">
        <v>5784.56</v>
      </c>
      <c r="K87" s="3">
        <v>3623.74</v>
      </c>
      <c r="L87" s="2" t="s">
        <v>37</v>
      </c>
      <c r="M87" s="2">
        <v>3.8</v>
      </c>
    </row>
    <row r="88" spans="1:13" x14ac:dyDescent="0.25">
      <c r="A88" s="2" t="s">
        <v>154</v>
      </c>
      <c r="B88" s="11">
        <v>45386</v>
      </c>
      <c r="C88" s="2" t="s">
        <v>6</v>
      </c>
      <c r="D88" s="2" t="s">
        <v>61</v>
      </c>
      <c r="E88" s="2" t="s">
        <v>23</v>
      </c>
      <c r="F88" s="2" t="s">
        <v>40</v>
      </c>
      <c r="G88" s="2">
        <v>5</v>
      </c>
      <c r="H88" s="3">
        <v>125.04</v>
      </c>
      <c r="I88" s="3">
        <v>625.20000000000005</v>
      </c>
      <c r="J88" s="3">
        <v>357.05</v>
      </c>
      <c r="K88" s="3">
        <v>268.14999999999998</v>
      </c>
      <c r="L88" s="2" t="s">
        <v>37</v>
      </c>
      <c r="M88" s="2">
        <v>3.6</v>
      </c>
    </row>
    <row r="89" spans="1:13" x14ac:dyDescent="0.25">
      <c r="A89" s="2" t="s">
        <v>155</v>
      </c>
      <c r="B89" s="11">
        <v>45395</v>
      </c>
      <c r="C89" s="2" t="s">
        <v>10</v>
      </c>
      <c r="D89" s="2" t="s">
        <v>9</v>
      </c>
      <c r="E89" s="2" t="s">
        <v>24</v>
      </c>
      <c r="F89" s="2" t="s">
        <v>40</v>
      </c>
      <c r="G89" s="2">
        <v>29</v>
      </c>
      <c r="H89" s="3">
        <v>91.52</v>
      </c>
      <c r="I89" s="3">
        <v>2654.08</v>
      </c>
      <c r="J89" s="3">
        <v>1260.33</v>
      </c>
      <c r="K89" s="3">
        <v>1393.75</v>
      </c>
      <c r="L89" s="2" t="s">
        <v>37</v>
      </c>
      <c r="M89" s="2">
        <v>3.1</v>
      </c>
    </row>
    <row r="90" spans="1:13" x14ac:dyDescent="0.25">
      <c r="A90" s="2" t="s">
        <v>156</v>
      </c>
      <c r="B90" s="11">
        <v>45391</v>
      </c>
      <c r="C90" s="2" t="s">
        <v>67</v>
      </c>
      <c r="D90" s="2" t="s">
        <v>80</v>
      </c>
      <c r="E90" s="2" t="s">
        <v>23</v>
      </c>
      <c r="F90" s="2" t="s">
        <v>45</v>
      </c>
      <c r="G90" s="2">
        <v>10</v>
      </c>
      <c r="H90" s="3">
        <v>129.66</v>
      </c>
      <c r="I90" s="3">
        <v>1296.5999999999999</v>
      </c>
      <c r="J90" s="3">
        <v>652.21</v>
      </c>
      <c r="K90" s="3">
        <v>644.39</v>
      </c>
      <c r="L90" s="2" t="s">
        <v>37</v>
      </c>
      <c r="M90" s="2">
        <v>4.4000000000000004</v>
      </c>
    </row>
    <row r="91" spans="1:13" x14ac:dyDescent="0.25">
      <c r="A91" s="2" t="s">
        <v>157</v>
      </c>
      <c r="B91" s="11">
        <v>45397</v>
      </c>
      <c r="C91" s="2" t="s">
        <v>21</v>
      </c>
      <c r="D91" s="2" t="s">
        <v>158</v>
      </c>
      <c r="E91" s="2" t="s">
        <v>25</v>
      </c>
      <c r="F91" s="2" t="s">
        <v>36</v>
      </c>
      <c r="G91" s="2">
        <v>44</v>
      </c>
      <c r="H91" s="3">
        <v>128.01</v>
      </c>
      <c r="I91" s="3">
        <v>5632.44</v>
      </c>
      <c r="J91" s="3">
        <v>3538.34</v>
      </c>
      <c r="K91" s="3">
        <v>2094.1</v>
      </c>
      <c r="L91" s="2" t="s">
        <v>37</v>
      </c>
      <c r="M91" s="2">
        <v>3.3</v>
      </c>
    </row>
    <row r="92" spans="1:13" x14ac:dyDescent="0.25">
      <c r="A92" s="2" t="s">
        <v>159</v>
      </c>
      <c r="B92" s="11">
        <v>45403</v>
      </c>
      <c r="C92" s="2" t="s">
        <v>6</v>
      </c>
      <c r="D92" s="2" t="s">
        <v>160</v>
      </c>
      <c r="E92" s="2" t="s">
        <v>24</v>
      </c>
      <c r="F92" s="2" t="s">
        <v>51</v>
      </c>
      <c r="G92" s="2">
        <v>19</v>
      </c>
      <c r="H92" s="3">
        <v>342.03</v>
      </c>
      <c r="I92" s="3">
        <v>6498.57</v>
      </c>
      <c r="J92" s="3">
        <v>2856.08</v>
      </c>
      <c r="K92" s="3">
        <v>3642.49</v>
      </c>
      <c r="L92" s="2" t="s">
        <v>37</v>
      </c>
      <c r="M92" s="2">
        <v>3.9</v>
      </c>
    </row>
    <row r="93" spans="1:13" x14ac:dyDescent="0.25">
      <c r="A93" s="2" t="s">
        <v>161</v>
      </c>
      <c r="B93" s="11">
        <v>45409</v>
      </c>
      <c r="C93" s="2" t="s">
        <v>21</v>
      </c>
      <c r="D93" s="2" t="s">
        <v>106</v>
      </c>
      <c r="E93" s="2" t="s">
        <v>25</v>
      </c>
      <c r="F93" s="2" t="s">
        <v>40</v>
      </c>
      <c r="G93" s="2">
        <v>30</v>
      </c>
      <c r="H93" s="3">
        <v>424.2</v>
      </c>
      <c r="I93" s="3">
        <v>12726</v>
      </c>
      <c r="J93" s="3">
        <v>5724.21</v>
      </c>
      <c r="K93" s="3">
        <v>7001.79</v>
      </c>
      <c r="L93" s="2" t="s">
        <v>37</v>
      </c>
      <c r="M93" s="2">
        <v>3.8</v>
      </c>
    </row>
    <row r="94" spans="1:13" x14ac:dyDescent="0.25">
      <c r="A94" s="2" t="s">
        <v>162</v>
      </c>
      <c r="B94" s="11">
        <v>45394</v>
      </c>
      <c r="C94" s="2" t="s">
        <v>67</v>
      </c>
      <c r="D94" s="2" t="s">
        <v>68</v>
      </c>
      <c r="E94" s="2" t="s">
        <v>25</v>
      </c>
      <c r="F94" s="2" t="s">
        <v>36</v>
      </c>
      <c r="G94" s="2">
        <v>19</v>
      </c>
      <c r="H94" s="3">
        <v>496.42</v>
      </c>
      <c r="I94" s="3">
        <v>9431.98</v>
      </c>
      <c r="J94" s="3">
        <v>4468.9399999999996</v>
      </c>
      <c r="K94" s="3">
        <v>4963.04</v>
      </c>
      <c r="L94" s="2" t="s">
        <v>37</v>
      </c>
      <c r="M94" s="2">
        <v>5</v>
      </c>
    </row>
    <row r="95" spans="1:13" x14ac:dyDescent="0.25">
      <c r="A95" s="2" t="s">
        <v>163</v>
      </c>
      <c r="B95" s="11">
        <v>45388</v>
      </c>
      <c r="C95" s="2" t="s">
        <v>6</v>
      </c>
      <c r="D95" s="2" t="s">
        <v>61</v>
      </c>
      <c r="E95" s="2" t="s">
        <v>23</v>
      </c>
      <c r="F95" s="2" t="s">
        <v>51</v>
      </c>
      <c r="G95" s="2">
        <v>48</v>
      </c>
      <c r="H95" s="3">
        <v>253.4</v>
      </c>
      <c r="I95" s="3">
        <v>12163.2</v>
      </c>
      <c r="J95" s="3">
        <v>7614.64</v>
      </c>
      <c r="K95" s="3">
        <v>4548.5600000000004</v>
      </c>
      <c r="L95" s="2" t="s">
        <v>37</v>
      </c>
      <c r="M95" s="2">
        <v>3.6</v>
      </c>
    </row>
    <row r="96" spans="1:13" x14ac:dyDescent="0.25">
      <c r="A96" s="2" t="s">
        <v>164</v>
      </c>
      <c r="B96" s="11">
        <v>45394</v>
      </c>
      <c r="C96" s="2" t="s">
        <v>12</v>
      </c>
      <c r="D96" s="2" t="s">
        <v>71</v>
      </c>
      <c r="E96" s="2" t="s">
        <v>23</v>
      </c>
      <c r="F96" s="2" t="s">
        <v>40</v>
      </c>
      <c r="G96" s="2">
        <v>40</v>
      </c>
      <c r="H96" s="3">
        <v>132.81</v>
      </c>
      <c r="I96" s="3">
        <v>5312.4</v>
      </c>
      <c r="J96" s="3">
        <v>3128.44</v>
      </c>
      <c r="K96" s="3">
        <v>2183.96</v>
      </c>
      <c r="L96" s="2" t="s">
        <v>47</v>
      </c>
      <c r="M96" s="2">
        <v>4.5</v>
      </c>
    </row>
    <row r="97" spans="1:13" x14ac:dyDescent="0.25">
      <c r="A97" s="2" t="s">
        <v>165</v>
      </c>
      <c r="B97" s="11">
        <v>45394</v>
      </c>
      <c r="C97" s="2" t="s">
        <v>6</v>
      </c>
      <c r="D97" s="2" t="s">
        <v>8</v>
      </c>
      <c r="E97" s="2" t="s">
        <v>24</v>
      </c>
      <c r="F97" s="2" t="s">
        <v>36</v>
      </c>
      <c r="G97" s="2">
        <v>29</v>
      </c>
      <c r="H97" s="3">
        <v>26.35</v>
      </c>
      <c r="I97" s="3">
        <v>764.15</v>
      </c>
      <c r="J97" s="3">
        <v>375.36</v>
      </c>
      <c r="K97" s="3">
        <v>388.79</v>
      </c>
      <c r="L97" s="2" t="s">
        <v>37</v>
      </c>
      <c r="M97" s="2">
        <v>3.3</v>
      </c>
    </row>
    <row r="98" spans="1:13" x14ac:dyDescent="0.25">
      <c r="A98" s="2" t="s">
        <v>166</v>
      </c>
      <c r="B98" s="11">
        <v>45389</v>
      </c>
      <c r="C98" s="2" t="s">
        <v>17</v>
      </c>
      <c r="D98" s="2" t="s">
        <v>16</v>
      </c>
      <c r="E98" s="2" t="s">
        <v>26</v>
      </c>
      <c r="F98" s="2" t="s">
        <v>36</v>
      </c>
      <c r="G98" s="2">
        <v>9</v>
      </c>
      <c r="H98" s="3">
        <v>395.39</v>
      </c>
      <c r="I98" s="3">
        <v>3558.51</v>
      </c>
      <c r="J98" s="3">
        <v>2203.13</v>
      </c>
      <c r="K98" s="3">
        <v>1355.38</v>
      </c>
      <c r="L98" s="2" t="s">
        <v>37</v>
      </c>
      <c r="M98" s="2">
        <v>3.7</v>
      </c>
    </row>
    <row r="99" spans="1:13" x14ac:dyDescent="0.25">
      <c r="A99" s="2" t="s">
        <v>167</v>
      </c>
      <c r="B99" s="11">
        <v>45404</v>
      </c>
      <c r="C99" s="2" t="s">
        <v>14</v>
      </c>
      <c r="D99" s="2" t="s">
        <v>85</v>
      </c>
      <c r="E99" s="2" t="s">
        <v>22</v>
      </c>
      <c r="F99" s="2" t="s">
        <v>45</v>
      </c>
      <c r="G99" s="2">
        <v>19</v>
      </c>
      <c r="H99" s="3">
        <v>375.81</v>
      </c>
      <c r="I99" s="3">
        <v>7140.39</v>
      </c>
      <c r="J99" s="3">
        <v>3460.8</v>
      </c>
      <c r="K99" s="3">
        <v>3679.59</v>
      </c>
      <c r="L99" s="2" t="s">
        <v>37</v>
      </c>
      <c r="M99" s="2">
        <v>3.2</v>
      </c>
    </row>
    <row r="100" spans="1:13" x14ac:dyDescent="0.25">
      <c r="A100" s="2" t="s">
        <v>168</v>
      </c>
      <c r="B100" s="11">
        <v>45391</v>
      </c>
      <c r="C100" s="2" t="s">
        <v>12</v>
      </c>
      <c r="D100" s="2" t="s">
        <v>97</v>
      </c>
      <c r="E100" s="2" t="s">
        <v>26</v>
      </c>
      <c r="F100" s="2" t="s">
        <v>40</v>
      </c>
      <c r="G100" s="2">
        <v>36</v>
      </c>
      <c r="H100" s="3">
        <v>189.23</v>
      </c>
      <c r="I100" s="3">
        <v>6812.28</v>
      </c>
      <c r="J100" s="3">
        <v>4071.5</v>
      </c>
      <c r="K100" s="3">
        <v>2740.78</v>
      </c>
      <c r="L100" s="2" t="s">
        <v>37</v>
      </c>
      <c r="M100" s="2">
        <v>3</v>
      </c>
    </row>
    <row r="101" spans="1:13" x14ac:dyDescent="0.25">
      <c r="A101" s="2" t="s">
        <v>169</v>
      </c>
      <c r="B101" s="11">
        <v>45405</v>
      </c>
      <c r="C101" s="2" t="s">
        <v>14</v>
      </c>
      <c r="D101" s="2" t="s">
        <v>117</v>
      </c>
      <c r="E101" s="2" t="s">
        <v>23</v>
      </c>
      <c r="F101" s="2" t="s">
        <v>43</v>
      </c>
      <c r="G101" s="2">
        <v>25</v>
      </c>
      <c r="H101" s="3">
        <v>412.98</v>
      </c>
      <c r="I101" s="3">
        <v>10324.5</v>
      </c>
      <c r="J101" s="3">
        <v>6556.81</v>
      </c>
      <c r="K101" s="3">
        <v>3767.69</v>
      </c>
      <c r="L101" s="2" t="s">
        <v>37</v>
      </c>
      <c r="M101" s="2">
        <v>3.2</v>
      </c>
    </row>
    <row r="102" spans="1:13" x14ac:dyDescent="0.25">
      <c r="A102" s="2" t="s">
        <v>170</v>
      </c>
      <c r="B102" s="11">
        <v>45434</v>
      </c>
      <c r="C102" s="2" t="s">
        <v>67</v>
      </c>
      <c r="D102" s="2" t="s">
        <v>68</v>
      </c>
      <c r="E102" s="2" t="s">
        <v>24</v>
      </c>
      <c r="F102" s="2" t="s">
        <v>43</v>
      </c>
      <c r="G102" s="2">
        <v>15</v>
      </c>
      <c r="H102" s="3">
        <v>327.35000000000002</v>
      </c>
      <c r="I102" s="3">
        <v>4910.25</v>
      </c>
      <c r="J102" s="3">
        <v>2744.1</v>
      </c>
      <c r="K102" s="3">
        <v>2166.15</v>
      </c>
      <c r="L102" s="2" t="s">
        <v>37</v>
      </c>
      <c r="M102" s="2">
        <v>3.9</v>
      </c>
    </row>
    <row r="103" spans="1:13" x14ac:dyDescent="0.25">
      <c r="A103" s="2" t="s">
        <v>171</v>
      </c>
      <c r="B103" s="11">
        <v>45433</v>
      </c>
      <c r="C103" s="2" t="s">
        <v>6</v>
      </c>
      <c r="D103" s="2" t="s">
        <v>5</v>
      </c>
      <c r="E103" s="2" t="s">
        <v>26</v>
      </c>
      <c r="F103" s="2" t="s">
        <v>45</v>
      </c>
      <c r="G103" s="2">
        <v>20</v>
      </c>
      <c r="H103" s="3">
        <v>498</v>
      </c>
      <c r="I103" s="3">
        <v>9960</v>
      </c>
      <c r="J103" s="3">
        <v>4273.1400000000003</v>
      </c>
      <c r="K103" s="3">
        <v>5686.86</v>
      </c>
      <c r="L103" s="2" t="s">
        <v>37</v>
      </c>
      <c r="M103" s="2">
        <v>3.5</v>
      </c>
    </row>
    <row r="104" spans="1:13" x14ac:dyDescent="0.25">
      <c r="A104" s="2" t="s">
        <v>172</v>
      </c>
      <c r="B104" s="11">
        <v>45415</v>
      </c>
      <c r="C104" s="2" t="s">
        <v>67</v>
      </c>
      <c r="D104" s="2" t="s">
        <v>68</v>
      </c>
      <c r="E104" s="2" t="s">
        <v>22</v>
      </c>
      <c r="F104" s="2" t="s">
        <v>43</v>
      </c>
      <c r="G104" s="2">
        <v>27</v>
      </c>
      <c r="H104" s="3">
        <v>297.8</v>
      </c>
      <c r="I104" s="3">
        <v>8040.6</v>
      </c>
      <c r="J104" s="3">
        <v>4676.8100000000004</v>
      </c>
      <c r="K104" s="3">
        <v>3363.79</v>
      </c>
      <c r="L104" s="2" t="s">
        <v>37</v>
      </c>
      <c r="M104" s="2">
        <v>4.8</v>
      </c>
    </row>
    <row r="105" spans="1:13" x14ac:dyDescent="0.25">
      <c r="A105" s="2" t="s">
        <v>173</v>
      </c>
      <c r="B105" s="11">
        <v>45432</v>
      </c>
      <c r="C105" s="2" t="s">
        <v>14</v>
      </c>
      <c r="D105" s="2" t="s">
        <v>13</v>
      </c>
      <c r="E105" s="2" t="s">
        <v>24</v>
      </c>
      <c r="F105" s="2" t="s">
        <v>40</v>
      </c>
      <c r="G105" s="2">
        <v>45</v>
      </c>
      <c r="H105" s="3">
        <v>191.56</v>
      </c>
      <c r="I105" s="3">
        <v>8620.2000000000007</v>
      </c>
      <c r="J105" s="3">
        <v>4403.59</v>
      </c>
      <c r="K105" s="3">
        <v>4216.6099999999997</v>
      </c>
      <c r="L105" s="2" t="s">
        <v>77</v>
      </c>
      <c r="M105" s="2">
        <v>4.9000000000000004</v>
      </c>
    </row>
    <row r="106" spans="1:13" x14ac:dyDescent="0.25">
      <c r="A106" s="2" t="s">
        <v>174</v>
      </c>
      <c r="B106" s="11">
        <v>45433</v>
      </c>
      <c r="C106" s="2" t="s">
        <v>67</v>
      </c>
      <c r="D106" s="2" t="s">
        <v>68</v>
      </c>
      <c r="E106" s="2" t="s">
        <v>22</v>
      </c>
      <c r="F106" s="2" t="s">
        <v>43</v>
      </c>
      <c r="G106" s="2">
        <v>42</v>
      </c>
      <c r="H106" s="3">
        <v>185.75</v>
      </c>
      <c r="I106" s="3">
        <v>7801.5</v>
      </c>
      <c r="J106" s="3">
        <v>3897.12</v>
      </c>
      <c r="K106" s="3">
        <v>3904.38</v>
      </c>
      <c r="L106" s="2" t="s">
        <v>37</v>
      </c>
      <c r="M106" s="2">
        <v>3.4</v>
      </c>
    </row>
    <row r="107" spans="1:13" x14ac:dyDescent="0.25">
      <c r="A107" s="2" t="s">
        <v>175</v>
      </c>
      <c r="B107" s="11">
        <v>45418</v>
      </c>
      <c r="C107" s="2" t="s">
        <v>12</v>
      </c>
      <c r="D107" s="2" t="s">
        <v>42</v>
      </c>
      <c r="E107" s="2" t="s">
        <v>26</v>
      </c>
      <c r="F107" s="2" t="s">
        <v>45</v>
      </c>
      <c r="G107" s="2">
        <v>2</v>
      </c>
      <c r="H107" s="3">
        <v>34.78</v>
      </c>
      <c r="I107" s="3">
        <v>69.56</v>
      </c>
      <c r="J107" s="3">
        <v>33.619999999999997</v>
      </c>
      <c r="K107" s="3">
        <v>35.94</v>
      </c>
      <c r="L107" s="2" t="s">
        <v>37</v>
      </c>
      <c r="M107" s="2">
        <v>5</v>
      </c>
    </row>
    <row r="108" spans="1:13" x14ac:dyDescent="0.25">
      <c r="A108" s="2" t="s">
        <v>176</v>
      </c>
      <c r="B108" s="11">
        <v>45430</v>
      </c>
      <c r="C108" s="2" t="s">
        <v>12</v>
      </c>
      <c r="D108" s="2" t="s">
        <v>42</v>
      </c>
      <c r="E108" s="2" t="s">
        <v>26</v>
      </c>
      <c r="F108" s="2" t="s">
        <v>40</v>
      </c>
      <c r="G108" s="2">
        <v>14</v>
      </c>
      <c r="H108" s="3">
        <v>408.4</v>
      </c>
      <c r="I108" s="3">
        <v>5717.6</v>
      </c>
      <c r="J108" s="3">
        <v>2620.09</v>
      </c>
      <c r="K108" s="3">
        <v>3097.51</v>
      </c>
      <c r="L108" s="2" t="s">
        <v>37</v>
      </c>
      <c r="M108" s="2">
        <v>4.5</v>
      </c>
    </row>
    <row r="109" spans="1:13" x14ac:dyDescent="0.25">
      <c r="A109" s="2" t="s">
        <v>177</v>
      </c>
      <c r="B109" s="11">
        <v>45436</v>
      </c>
      <c r="C109" s="2" t="s">
        <v>17</v>
      </c>
      <c r="D109" s="2" t="s">
        <v>16</v>
      </c>
      <c r="E109" s="2" t="s">
        <v>22</v>
      </c>
      <c r="F109" s="2" t="s">
        <v>45</v>
      </c>
      <c r="G109" s="2">
        <v>35</v>
      </c>
      <c r="H109" s="3">
        <v>132.82</v>
      </c>
      <c r="I109" s="3">
        <v>4648.7</v>
      </c>
      <c r="J109" s="3">
        <v>2062.2800000000002</v>
      </c>
      <c r="K109" s="3">
        <v>2586.42</v>
      </c>
      <c r="L109" s="2" t="s">
        <v>37</v>
      </c>
      <c r="M109" s="2">
        <v>4.3</v>
      </c>
    </row>
    <row r="110" spans="1:13" x14ac:dyDescent="0.25">
      <c r="A110" s="2" t="s">
        <v>178</v>
      </c>
      <c r="B110" s="11">
        <v>45420</v>
      </c>
      <c r="C110" s="2" t="s">
        <v>12</v>
      </c>
      <c r="D110" s="2" t="s">
        <v>42</v>
      </c>
      <c r="E110" s="2" t="s">
        <v>25</v>
      </c>
      <c r="F110" s="2" t="s">
        <v>51</v>
      </c>
      <c r="G110" s="2">
        <v>21</v>
      </c>
      <c r="H110" s="3">
        <v>17.73</v>
      </c>
      <c r="I110" s="3">
        <v>372.33</v>
      </c>
      <c r="J110" s="3">
        <v>173.63</v>
      </c>
      <c r="K110" s="3">
        <v>198.7</v>
      </c>
      <c r="L110" s="2" t="s">
        <v>37</v>
      </c>
      <c r="M110" s="2">
        <v>3.3</v>
      </c>
    </row>
    <row r="111" spans="1:13" x14ac:dyDescent="0.25">
      <c r="A111" s="2" t="s">
        <v>179</v>
      </c>
      <c r="B111" s="11">
        <v>45418</v>
      </c>
      <c r="C111" s="2" t="s">
        <v>10</v>
      </c>
      <c r="D111" s="2" t="s">
        <v>115</v>
      </c>
      <c r="E111" s="2" t="s">
        <v>26</v>
      </c>
      <c r="F111" s="2" t="s">
        <v>45</v>
      </c>
      <c r="G111" s="2">
        <v>29</v>
      </c>
      <c r="H111" s="3">
        <v>391.23</v>
      </c>
      <c r="I111" s="3">
        <v>11345.67</v>
      </c>
      <c r="J111" s="3">
        <v>5994.03</v>
      </c>
      <c r="K111" s="3">
        <v>5351.64</v>
      </c>
      <c r="L111" s="2" t="s">
        <v>77</v>
      </c>
      <c r="M111" s="2">
        <v>3.2</v>
      </c>
    </row>
    <row r="112" spans="1:13" x14ac:dyDescent="0.25">
      <c r="A112" s="2" t="s">
        <v>180</v>
      </c>
      <c r="B112" s="11">
        <v>45427</v>
      </c>
      <c r="C112" s="2" t="s">
        <v>6</v>
      </c>
      <c r="D112" s="2" t="s">
        <v>61</v>
      </c>
      <c r="E112" s="2" t="s">
        <v>25</v>
      </c>
      <c r="F112" s="2" t="s">
        <v>43</v>
      </c>
      <c r="G112" s="2">
        <v>20</v>
      </c>
      <c r="H112" s="3">
        <v>234.44</v>
      </c>
      <c r="I112" s="3">
        <v>4688.8</v>
      </c>
      <c r="J112" s="3">
        <v>3005.55</v>
      </c>
      <c r="K112" s="3">
        <v>1683.25</v>
      </c>
      <c r="L112" s="2" t="s">
        <v>37</v>
      </c>
      <c r="M112" s="2">
        <v>3.1</v>
      </c>
    </row>
    <row r="113" spans="1:13" x14ac:dyDescent="0.25">
      <c r="A113" s="2" t="s">
        <v>181</v>
      </c>
      <c r="B113" s="11">
        <v>45425</v>
      </c>
      <c r="C113" s="2" t="s">
        <v>10</v>
      </c>
      <c r="D113" s="2" t="s">
        <v>115</v>
      </c>
      <c r="E113" s="2" t="s">
        <v>26</v>
      </c>
      <c r="F113" s="2" t="s">
        <v>45</v>
      </c>
      <c r="G113" s="2">
        <v>46</v>
      </c>
      <c r="H113" s="3">
        <v>455.75</v>
      </c>
      <c r="I113" s="3">
        <v>20964.5</v>
      </c>
      <c r="J113" s="3">
        <v>8770.9699999999993</v>
      </c>
      <c r="K113" s="3">
        <v>12193.53</v>
      </c>
      <c r="L113" s="2" t="s">
        <v>37</v>
      </c>
      <c r="M113" s="2">
        <v>3.2</v>
      </c>
    </row>
    <row r="114" spans="1:13" x14ac:dyDescent="0.25">
      <c r="A114" s="2" t="s">
        <v>182</v>
      </c>
      <c r="B114" s="11">
        <v>45421</v>
      </c>
      <c r="C114" s="2" t="s">
        <v>14</v>
      </c>
      <c r="D114" s="2" t="s">
        <v>117</v>
      </c>
      <c r="E114" s="2" t="s">
        <v>26</v>
      </c>
      <c r="F114" s="2" t="s">
        <v>51</v>
      </c>
      <c r="G114" s="2">
        <v>41</v>
      </c>
      <c r="H114" s="3">
        <v>296.83</v>
      </c>
      <c r="I114" s="3">
        <v>12170.03</v>
      </c>
      <c r="J114" s="3">
        <v>7034.74</v>
      </c>
      <c r="K114" s="3">
        <v>5135.29</v>
      </c>
      <c r="L114" s="2" t="s">
        <v>37</v>
      </c>
      <c r="M114" s="2">
        <v>3.8</v>
      </c>
    </row>
    <row r="115" spans="1:13" x14ac:dyDescent="0.25">
      <c r="A115" s="2" t="s">
        <v>183</v>
      </c>
      <c r="B115" s="11">
        <v>45433</v>
      </c>
      <c r="C115" s="2" t="s">
        <v>21</v>
      </c>
      <c r="D115" s="2" t="s">
        <v>20</v>
      </c>
      <c r="E115" s="2" t="s">
        <v>26</v>
      </c>
      <c r="F115" s="2" t="s">
        <v>45</v>
      </c>
      <c r="G115" s="2">
        <v>45</v>
      </c>
      <c r="H115" s="3">
        <v>66.06</v>
      </c>
      <c r="I115" s="3">
        <v>2972.7</v>
      </c>
      <c r="J115" s="3">
        <v>1675.65</v>
      </c>
      <c r="K115" s="3">
        <v>1297.05</v>
      </c>
      <c r="L115" s="2" t="s">
        <v>37</v>
      </c>
      <c r="M115" s="2">
        <v>4.8</v>
      </c>
    </row>
    <row r="116" spans="1:13" x14ac:dyDescent="0.25">
      <c r="A116" s="2" t="s">
        <v>184</v>
      </c>
      <c r="B116" s="11">
        <v>45435</v>
      </c>
      <c r="C116" s="2" t="s">
        <v>12</v>
      </c>
      <c r="D116" s="2" t="s">
        <v>97</v>
      </c>
      <c r="E116" s="2" t="s">
        <v>24</v>
      </c>
      <c r="F116" s="2" t="s">
        <v>43</v>
      </c>
      <c r="G116" s="2">
        <v>22</v>
      </c>
      <c r="H116" s="3">
        <v>415.44</v>
      </c>
      <c r="I116" s="3">
        <v>9139.68</v>
      </c>
      <c r="J116" s="3">
        <v>4566.9399999999996</v>
      </c>
      <c r="K116" s="3">
        <v>4572.74</v>
      </c>
      <c r="L116" s="2" t="s">
        <v>37</v>
      </c>
      <c r="M116" s="2">
        <v>4.5</v>
      </c>
    </row>
    <row r="117" spans="1:13" x14ac:dyDescent="0.25">
      <c r="A117" s="2" t="s">
        <v>185</v>
      </c>
      <c r="B117" s="11">
        <v>45430</v>
      </c>
      <c r="C117" s="2" t="s">
        <v>14</v>
      </c>
      <c r="D117" s="2" t="s">
        <v>186</v>
      </c>
      <c r="E117" s="2" t="s">
        <v>22</v>
      </c>
      <c r="F117" s="2" t="s">
        <v>40</v>
      </c>
      <c r="G117" s="2">
        <v>10</v>
      </c>
      <c r="H117" s="3">
        <v>346.54</v>
      </c>
      <c r="I117" s="3">
        <v>3465.4</v>
      </c>
      <c r="J117" s="3">
        <v>1797.04</v>
      </c>
      <c r="K117" s="3">
        <v>1668.36</v>
      </c>
      <c r="L117" s="2" t="s">
        <v>37</v>
      </c>
      <c r="M117" s="2">
        <v>3.2</v>
      </c>
    </row>
    <row r="118" spans="1:13" x14ac:dyDescent="0.25">
      <c r="A118" s="2" t="s">
        <v>187</v>
      </c>
      <c r="B118" s="11">
        <v>45420</v>
      </c>
      <c r="C118" s="2" t="s">
        <v>67</v>
      </c>
      <c r="D118" s="2" t="s">
        <v>110</v>
      </c>
      <c r="E118" s="2" t="s">
        <v>22</v>
      </c>
      <c r="F118" s="2" t="s">
        <v>43</v>
      </c>
      <c r="G118" s="2">
        <v>36</v>
      </c>
      <c r="H118" s="3">
        <v>39.39</v>
      </c>
      <c r="I118" s="3">
        <v>1418.04</v>
      </c>
      <c r="J118" s="3">
        <v>906.35</v>
      </c>
      <c r="K118" s="3">
        <v>511.69</v>
      </c>
      <c r="L118" s="2" t="s">
        <v>37</v>
      </c>
      <c r="M118" s="2">
        <v>4.0999999999999996</v>
      </c>
    </row>
    <row r="119" spans="1:13" x14ac:dyDescent="0.25">
      <c r="A119" s="2" t="s">
        <v>188</v>
      </c>
      <c r="B119" s="11">
        <v>45434</v>
      </c>
      <c r="C119" s="2" t="s">
        <v>21</v>
      </c>
      <c r="D119" s="2" t="s">
        <v>20</v>
      </c>
      <c r="E119" s="2" t="s">
        <v>23</v>
      </c>
      <c r="F119" s="2" t="s">
        <v>45</v>
      </c>
      <c r="G119" s="2">
        <v>19</v>
      </c>
      <c r="H119" s="3">
        <v>304.2</v>
      </c>
      <c r="I119" s="3">
        <v>5779.8</v>
      </c>
      <c r="J119" s="3">
        <v>2820.03</v>
      </c>
      <c r="K119" s="3">
        <v>2959.77</v>
      </c>
      <c r="L119" s="2" t="s">
        <v>37</v>
      </c>
      <c r="M119" s="2">
        <v>4.2</v>
      </c>
    </row>
    <row r="120" spans="1:13" x14ac:dyDescent="0.25">
      <c r="A120" s="2" t="s">
        <v>189</v>
      </c>
      <c r="B120" s="11">
        <v>45423</v>
      </c>
      <c r="C120" s="2" t="s">
        <v>12</v>
      </c>
      <c r="D120" s="2" t="s">
        <v>11</v>
      </c>
      <c r="E120" s="2" t="s">
        <v>26</v>
      </c>
      <c r="F120" s="2" t="s">
        <v>45</v>
      </c>
      <c r="G120" s="2">
        <v>23</v>
      </c>
      <c r="H120" s="3">
        <v>424.23</v>
      </c>
      <c r="I120" s="3">
        <v>9757.2900000000009</v>
      </c>
      <c r="J120" s="3">
        <v>4799.5200000000004</v>
      </c>
      <c r="K120" s="3">
        <v>4957.7700000000004</v>
      </c>
      <c r="L120" s="2" t="s">
        <v>37</v>
      </c>
      <c r="M120" s="2">
        <v>4.5</v>
      </c>
    </row>
    <row r="121" spans="1:13" x14ac:dyDescent="0.25">
      <c r="A121" s="2" t="s">
        <v>190</v>
      </c>
      <c r="B121" s="11">
        <v>45439</v>
      </c>
      <c r="C121" s="2" t="s">
        <v>6</v>
      </c>
      <c r="D121" s="2" t="s">
        <v>61</v>
      </c>
      <c r="E121" s="2" t="s">
        <v>24</v>
      </c>
      <c r="F121" s="2" t="s">
        <v>36</v>
      </c>
      <c r="G121" s="2">
        <v>43</v>
      </c>
      <c r="H121" s="3">
        <v>416.44</v>
      </c>
      <c r="I121" s="3">
        <v>17906.919999999998</v>
      </c>
      <c r="J121" s="3">
        <v>8360.06</v>
      </c>
      <c r="K121" s="3">
        <v>9546.86</v>
      </c>
      <c r="L121" s="2" t="s">
        <v>37</v>
      </c>
      <c r="M121" s="2">
        <v>3.4</v>
      </c>
    </row>
    <row r="122" spans="1:13" x14ac:dyDescent="0.25">
      <c r="A122" s="2" t="s">
        <v>191</v>
      </c>
      <c r="B122" s="11">
        <v>45437</v>
      </c>
      <c r="C122" s="2" t="s">
        <v>17</v>
      </c>
      <c r="D122" s="2" t="s">
        <v>16</v>
      </c>
      <c r="E122" s="2" t="s">
        <v>22</v>
      </c>
      <c r="F122" s="2" t="s">
        <v>40</v>
      </c>
      <c r="G122" s="2">
        <v>37</v>
      </c>
      <c r="H122" s="3">
        <v>332.1</v>
      </c>
      <c r="I122" s="3">
        <v>12287.7</v>
      </c>
      <c r="J122" s="3">
        <v>5128.84</v>
      </c>
      <c r="K122" s="3">
        <v>7158.86</v>
      </c>
      <c r="L122" s="2" t="s">
        <v>37</v>
      </c>
      <c r="M122" s="2">
        <v>4.5</v>
      </c>
    </row>
    <row r="123" spans="1:13" x14ac:dyDescent="0.25">
      <c r="A123" s="2" t="s">
        <v>192</v>
      </c>
      <c r="B123" s="11">
        <v>45437</v>
      </c>
      <c r="C123" s="2" t="s">
        <v>12</v>
      </c>
      <c r="D123" s="2" t="s">
        <v>97</v>
      </c>
      <c r="E123" s="2" t="s">
        <v>24</v>
      </c>
      <c r="F123" s="2" t="s">
        <v>51</v>
      </c>
      <c r="G123" s="2">
        <v>27</v>
      </c>
      <c r="H123" s="3">
        <v>232.29</v>
      </c>
      <c r="I123" s="3">
        <v>6271.83</v>
      </c>
      <c r="J123" s="3">
        <v>2755.54</v>
      </c>
      <c r="K123" s="3">
        <v>3516.29</v>
      </c>
      <c r="L123" s="2" t="s">
        <v>37</v>
      </c>
      <c r="M123" s="2">
        <v>3.6</v>
      </c>
    </row>
    <row r="124" spans="1:13" x14ac:dyDescent="0.25">
      <c r="A124" s="2" t="s">
        <v>193</v>
      </c>
      <c r="B124" s="11">
        <v>45414</v>
      </c>
      <c r="C124" s="2" t="s">
        <v>6</v>
      </c>
      <c r="D124" s="2" t="s">
        <v>7</v>
      </c>
      <c r="E124" s="2" t="s">
        <v>25</v>
      </c>
      <c r="F124" s="2" t="s">
        <v>43</v>
      </c>
      <c r="G124" s="2">
        <v>11</v>
      </c>
      <c r="H124" s="3">
        <v>379.67</v>
      </c>
      <c r="I124" s="3">
        <v>4176.37</v>
      </c>
      <c r="J124" s="3">
        <v>1722.5</v>
      </c>
      <c r="K124" s="3">
        <v>2453.87</v>
      </c>
      <c r="L124" s="2" t="s">
        <v>37</v>
      </c>
      <c r="M124" s="2">
        <v>3.2</v>
      </c>
    </row>
    <row r="125" spans="1:13" x14ac:dyDescent="0.25">
      <c r="A125" s="2" t="s">
        <v>194</v>
      </c>
      <c r="B125" s="11">
        <v>45420</v>
      </c>
      <c r="C125" s="2" t="s">
        <v>19</v>
      </c>
      <c r="D125" s="2" t="s">
        <v>87</v>
      </c>
      <c r="E125" s="2" t="s">
        <v>22</v>
      </c>
      <c r="F125" s="2" t="s">
        <v>36</v>
      </c>
      <c r="G125" s="2">
        <v>18</v>
      </c>
      <c r="H125" s="3">
        <v>115.63</v>
      </c>
      <c r="I125" s="3">
        <v>2081.34</v>
      </c>
      <c r="J125" s="3">
        <v>1099.1300000000001</v>
      </c>
      <c r="K125" s="3">
        <v>982.21</v>
      </c>
      <c r="L125" s="2" t="s">
        <v>37</v>
      </c>
      <c r="M125" s="2">
        <v>3.7</v>
      </c>
    </row>
    <row r="126" spans="1:13" x14ac:dyDescent="0.25">
      <c r="A126" s="2" t="s">
        <v>195</v>
      </c>
      <c r="B126" s="11">
        <v>45439</v>
      </c>
      <c r="C126" s="2" t="s">
        <v>19</v>
      </c>
      <c r="D126" s="2" t="s">
        <v>65</v>
      </c>
      <c r="E126" s="2" t="s">
        <v>22</v>
      </c>
      <c r="F126" s="2" t="s">
        <v>40</v>
      </c>
      <c r="G126" s="2">
        <v>43</v>
      </c>
      <c r="H126" s="3">
        <v>161.13</v>
      </c>
      <c r="I126" s="3">
        <v>6928.59</v>
      </c>
      <c r="J126" s="3">
        <v>3153.41</v>
      </c>
      <c r="K126" s="3">
        <v>3775.18</v>
      </c>
      <c r="L126" s="2" t="s">
        <v>37</v>
      </c>
      <c r="M126" s="2">
        <v>5</v>
      </c>
    </row>
    <row r="127" spans="1:13" x14ac:dyDescent="0.25">
      <c r="A127" s="2" t="s">
        <v>196</v>
      </c>
      <c r="B127" s="11">
        <v>45445</v>
      </c>
      <c r="C127" s="2" t="s">
        <v>12</v>
      </c>
      <c r="D127" s="2" t="s">
        <v>71</v>
      </c>
      <c r="E127" s="2" t="s">
        <v>25</v>
      </c>
      <c r="F127" s="2" t="s">
        <v>45</v>
      </c>
      <c r="G127" s="2">
        <v>49</v>
      </c>
      <c r="H127" s="3">
        <v>135.19999999999999</v>
      </c>
      <c r="I127" s="3">
        <v>6624.8</v>
      </c>
      <c r="J127" s="3">
        <v>3193.36</v>
      </c>
      <c r="K127" s="3">
        <v>3431.44</v>
      </c>
      <c r="L127" s="2" t="s">
        <v>37</v>
      </c>
      <c r="M127" s="2">
        <v>3</v>
      </c>
    </row>
    <row r="128" spans="1:13" x14ac:dyDescent="0.25">
      <c r="A128" s="2" t="s">
        <v>197</v>
      </c>
      <c r="B128" s="11">
        <v>45469</v>
      </c>
      <c r="C128" s="2" t="s">
        <v>12</v>
      </c>
      <c r="D128" s="2" t="s">
        <v>42</v>
      </c>
      <c r="E128" s="2" t="s">
        <v>22</v>
      </c>
      <c r="F128" s="2" t="s">
        <v>43</v>
      </c>
      <c r="G128" s="2">
        <v>36</v>
      </c>
      <c r="H128" s="3">
        <v>418.34</v>
      </c>
      <c r="I128" s="3">
        <v>15060.24</v>
      </c>
      <c r="J128" s="3">
        <v>9059.49</v>
      </c>
      <c r="K128" s="3">
        <v>6000.75</v>
      </c>
      <c r="L128" s="2" t="s">
        <v>37</v>
      </c>
      <c r="M128" s="2">
        <v>3.1</v>
      </c>
    </row>
    <row r="129" spans="1:13" x14ac:dyDescent="0.25">
      <c r="A129" s="2" t="s">
        <v>198</v>
      </c>
      <c r="B129" s="11">
        <v>45454</v>
      </c>
      <c r="C129" s="2" t="s">
        <v>10</v>
      </c>
      <c r="D129" s="2" t="s">
        <v>76</v>
      </c>
      <c r="E129" s="2" t="s">
        <v>24</v>
      </c>
      <c r="F129" s="2" t="s">
        <v>40</v>
      </c>
      <c r="G129" s="2">
        <v>37</v>
      </c>
      <c r="H129" s="3">
        <v>220.35</v>
      </c>
      <c r="I129" s="3">
        <v>8152.95</v>
      </c>
      <c r="J129" s="3">
        <v>4085.49</v>
      </c>
      <c r="K129" s="3">
        <v>4067.46</v>
      </c>
      <c r="L129" s="2" t="s">
        <v>37</v>
      </c>
      <c r="M129" s="2">
        <v>4.3</v>
      </c>
    </row>
    <row r="130" spans="1:13" x14ac:dyDescent="0.25">
      <c r="A130" s="2" t="s">
        <v>199</v>
      </c>
      <c r="B130" s="11">
        <v>45456</v>
      </c>
      <c r="C130" s="2" t="s">
        <v>67</v>
      </c>
      <c r="D130" s="2" t="s">
        <v>110</v>
      </c>
      <c r="E130" s="2" t="s">
        <v>25</v>
      </c>
      <c r="F130" s="2" t="s">
        <v>40</v>
      </c>
      <c r="G130" s="2">
        <v>40</v>
      </c>
      <c r="H130" s="3">
        <v>235.45</v>
      </c>
      <c r="I130" s="3">
        <v>9418</v>
      </c>
      <c r="J130" s="3">
        <v>5390.89</v>
      </c>
      <c r="K130" s="3">
        <v>4027.11</v>
      </c>
      <c r="L130" s="2" t="s">
        <v>37</v>
      </c>
      <c r="M130" s="2">
        <v>3.7</v>
      </c>
    </row>
    <row r="131" spans="1:13" x14ac:dyDescent="0.25">
      <c r="A131" s="2" t="s">
        <v>200</v>
      </c>
      <c r="B131" s="11">
        <v>45452</v>
      </c>
      <c r="C131" s="2" t="s">
        <v>21</v>
      </c>
      <c r="D131" s="2" t="s">
        <v>158</v>
      </c>
      <c r="E131" s="2" t="s">
        <v>24</v>
      </c>
      <c r="F131" s="2" t="s">
        <v>45</v>
      </c>
      <c r="G131" s="2">
        <v>6</v>
      </c>
      <c r="H131" s="3">
        <v>203.93</v>
      </c>
      <c r="I131" s="3">
        <v>1223.58</v>
      </c>
      <c r="J131" s="3">
        <v>584.34</v>
      </c>
      <c r="K131" s="3">
        <v>639.24</v>
      </c>
      <c r="L131" s="2" t="s">
        <v>37</v>
      </c>
      <c r="M131" s="2">
        <v>3.7</v>
      </c>
    </row>
    <row r="132" spans="1:13" x14ac:dyDescent="0.25">
      <c r="A132" s="2" t="s">
        <v>201</v>
      </c>
      <c r="B132" s="11">
        <v>45446</v>
      </c>
      <c r="C132" s="2" t="s">
        <v>10</v>
      </c>
      <c r="D132" s="2" t="s">
        <v>202</v>
      </c>
      <c r="E132" s="2" t="s">
        <v>23</v>
      </c>
      <c r="F132" s="2" t="s">
        <v>45</v>
      </c>
      <c r="G132" s="2">
        <v>33</v>
      </c>
      <c r="H132" s="3">
        <v>105.01</v>
      </c>
      <c r="I132" s="3">
        <v>3465.33</v>
      </c>
      <c r="J132" s="3">
        <v>2058.6</v>
      </c>
      <c r="K132" s="3">
        <v>1406.73</v>
      </c>
      <c r="L132" s="2" t="s">
        <v>37</v>
      </c>
      <c r="M132" s="2">
        <v>3.7</v>
      </c>
    </row>
    <row r="133" spans="1:13" x14ac:dyDescent="0.25">
      <c r="A133" s="2" t="s">
        <v>203</v>
      </c>
      <c r="B133" s="11">
        <v>45450</v>
      </c>
      <c r="C133" s="2" t="s">
        <v>14</v>
      </c>
      <c r="D133" s="2" t="s">
        <v>56</v>
      </c>
      <c r="E133" s="2" t="s">
        <v>23</v>
      </c>
      <c r="F133" s="2" t="s">
        <v>43</v>
      </c>
      <c r="G133" s="2">
        <v>12</v>
      </c>
      <c r="H133" s="3">
        <v>305.18</v>
      </c>
      <c r="I133" s="3">
        <v>3662.16</v>
      </c>
      <c r="J133" s="3">
        <v>2160.87</v>
      </c>
      <c r="K133" s="3">
        <v>1501.29</v>
      </c>
      <c r="L133" s="2" t="s">
        <v>37</v>
      </c>
      <c r="M133" s="2">
        <v>4.3</v>
      </c>
    </row>
    <row r="134" spans="1:13" x14ac:dyDescent="0.25">
      <c r="A134" s="2" t="s">
        <v>204</v>
      </c>
      <c r="B134" s="11">
        <v>45462</v>
      </c>
      <c r="C134" s="2" t="s">
        <v>19</v>
      </c>
      <c r="D134" s="2" t="s">
        <v>65</v>
      </c>
      <c r="E134" s="2" t="s">
        <v>24</v>
      </c>
      <c r="F134" s="2" t="s">
        <v>45</v>
      </c>
      <c r="G134" s="2">
        <v>42</v>
      </c>
      <c r="H134" s="3">
        <v>321.3</v>
      </c>
      <c r="I134" s="3">
        <v>13494.6</v>
      </c>
      <c r="J134" s="3">
        <v>7504.76</v>
      </c>
      <c r="K134" s="3">
        <v>5989.84</v>
      </c>
      <c r="L134" s="2" t="s">
        <v>37</v>
      </c>
      <c r="M134" s="2">
        <v>4.7</v>
      </c>
    </row>
    <row r="135" spans="1:13" x14ac:dyDescent="0.25">
      <c r="A135" s="2" t="s">
        <v>205</v>
      </c>
      <c r="B135" s="11">
        <v>45466</v>
      </c>
      <c r="C135" s="2" t="s">
        <v>19</v>
      </c>
      <c r="D135" s="2" t="s">
        <v>87</v>
      </c>
      <c r="E135" s="2" t="s">
        <v>26</v>
      </c>
      <c r="F135" s="2" t="s">
        <v>40</v>
      </c>
      <c r="G135" s="2">
        <v>41</v>
      </c>
      <c r="H135" s="3">
        <v>158.38</v>
      </c>
      <c r="I135" s="3">
        <v>6493.58</v>
      </c>
      <c r="J135" s="3">
        <v>3043.34</v>
      </c>
      <c r="K135" s="3">
        <v>3450.24</v>
      </c>
      <c r="L135" s="2" t="s">
        <v>37</v>
      </c>
      <c r="M135" s="2">
        <v>3.1</v>
      </c>
    </row>
    <row r="136" spans="1:13" x14ac:dyDescent="0.25">
      <c r="A136" s="2" t="s">
        <v>206</v>
      </c>
      <c r="B136" s="11">
        <v>45454</v>
      </c>
      <c r="C136" s="2" t="s">
        <v>19</v>
      </c>
      <c r="D136" s="2" t="s">
        <v>39</v>
      </c>
      <c r="E136" s="2" t="s">
        <v>22</v>
      </c>
      <c r="F136" s="2" t="s">
        <v>51</v>
      </c>
      <c r="G136" s="2">
        <v>4</v>
      </c>
      <c r="H136" s="3">
        <v>190.68</v>
      </c>
      <c r="I136" s="3">
        <v>762.72</v>
      </c>
      <c r="J136" s="3">
        <v>359.83</v>
      </c>
      <c r="K136" s="3">
        <v>402.89</v>
      </c>
      <c r="L136" s="2" t="s">
        <v>37</v>
      </c>
      <c r="M136" s="2">
        <v>4.3</v>
      </c>
    </row>
    <row r="137" spans="1:13" x14ac:dyDescent="0.25">
      <c r="A137" s="2" t="s">
        <v>207</v>
      </c>
      <c r="B137" s="11">
        <v>45450</v>
      </c>
      <c r="C137" s="2" t="s">
        <v>21</v>
      </c>
      <c r="D137" s="2" t="s">
        <v>129</v>
      </c>
      <c r="E137" s="2" t="s">
        <v>25</v>
      </c>
      <c r="F137" s="2" t="s">
        <v>51</v>
      </c>
      <c r="G137" s="2">
        <v>38</v>
      </c>
      <c r="H137" s="3">
        <v>281.62</v>
      </c>
      <c r="I137" s="3">
        <v>10701.56</v>
      </c>
      <c r="J137" s="3">
        <v>6399.05</v>
      </c>
      <c r="K137" s="3">
        <v>4302.51</v>
      </c>
      <c r="L137" s="2" t="s">
        <v>37</v>
      </c>
      <c r="M137" s="2">
        <v>4.8</v>
      </c>
    </row>
    <row r="138" spans="1:13" x14ac:dyDescent="0.25">
      <c r="A138" s="2" t="s">
        <v>208</v>
      </c>
      <c r="B138" s="11">
        <v>45464</v>
      </c>
      <c r="C138" s="2" t="s">
        <v>67</v>
      </c>
      <c r="D138" s="2" t="s">
        <v>68</v>
      </c>
      <c r="E138" s="2" t="s">
        <v>24</v>
      </c>
      <c r="F138" s="2" t="s">
        <v>40</v>
      </c>
      <c r="G138" s="2">
        <v>31</v>
      </c>
      <c r="H138" s="3">
        <v>255.67</v>
      </c>
      <c r="I138" s="3">
        <v>7925.77</v>
      </c>
      <c r="J138" s="3">
        <v>5067.9799999999996</v>
      </c>
      <c r="K138" s="3">
        <v>2857.79</v>
      </c>
      <c r="L138" s="2" t="s">
        <v>37</v>
      </c>
      <c r="M138" s="2">
        <v>3.9</v>
      </c>
    </row>
    <row r="139" spans="1:13" x14ac:dyDescent="0.25">
      <c r="A139" s="2" t="s">
        <v>209</v>
      </c>
      <c r="B139" s="11">
        <v>45459</v>
      </c>
      <c r="C139" s="2" t="s">
        <v>17</v>
      </c>
      <c r="D139" s="2" t="s">
        <v>53</v>
      </c>
      <c r="E139" s="2" t="s">
        <v>26</v>
      </c>
      <c r="F139" s="2" t="s">
        <v>45</v>
      </c>
      <c r="G139" s="2">
        <v>16</v>
      </c>
      <c r="H139" s="3">
        <v>356.73</v>
      </c>
      <c r="I139" s="3">
        <v>5707.68</v>
      </c>
      <c r="J139" s="3">
        <v>3697.13</v>
      </c>
      <c r="K139" s="3">
        <v>2010.55</v>
      </c>
      <c r="L139" s="2" t="s">
        <v>37</v>
      </c>
      <c r="M139" s="2">
        <v>4</v>
      </c>
    </row>
    <row r="140" spans="1:13" x14ac:dyDescent="0.25">
      <c r="A140" s="2" t="s">
        <v>210</v>
      </c>
      <c r="B140" s="11">
        <v>45456</v>
      </c>
      <c r="C140" s="2" t="s">
        <v>14</v>
      </c>
      <c r="D140" s="2" t="s">
        <v>85</v>
      </c>
      <c r="E140" s="2" t="s">
        <v>24</v>
      </c>
      <c r="F140" s="2" t="s">
        <v>40</v>
      </c>
      <c r="G140" s="2">
        <v>27</v>
      </c>
      <c r="H140" s="3">
        <v>389.49</v>
      </c>
      <c r="I140" s="3">
        <v>10516.23</v>
      </c>
      <c r="J140" s="3">
        <v>5991.35</v>
      </c>
      <c r="K140" s="3">
        <v>4524.88</v>
      </c>
      <c r="L140" s="2" t="s">
        <v>37</v>
      </c>
      <c r="M140" s="2">
        <v>3.1</v>
      </c>
    </row>
    <row r="141" spans="1:13" x14ac:dyDescent="0.25">
      <c r="A141" s="2" t="s">
        <v>211</v>
      </c>
      <c r="B141" s="11">
        <v>45464</v>
      </c>
      <c r="C141" s="2" t="s">
        <v>21</v>
      </c>
      <c r="D141" s="2" t="s">
        <v>106</v>
      </c>
      <c r="E141" s="2" t="s">
        <v>23</v>
      </c>
      <c r="F141" s="2" t="s">
        <v>36</v>
      </c>
      <c r="G141" s="2">
        <v>17</v>
      </c>
      <c r="H141" s="3">
        <v>364.63</v>
      </c>
      <c r="I141" s="3">
        <v>6198.71</v>
      </c>
      <c r="J141" s="3">
        <v>3496.95</v>
      </c>
      <c r="K141" s="3">
        <v>2701.76</v>
      </c>
      <c r="L141" s="2" t="s">
        <v>37</v>
      </c>
      <c r="M141" s="2">
        <v>4.8</v>
      </c>
    </row>
    <row r="142" spans="1:13" x14ac:dyDescent="0.25">
      <c r="A142" s="2" t="s">
        <v>212</v>
      </c>
      <c r="B142" s="11">
        <v>45458</v>
      </c>
      <c r="C142" s="2" t="s">
        <v>17</v>
      </c>
      <c r="D142" s="2" t="s">
        <v>59</v>
      </c>
      <c r="E142" s="2" t="s">
        <v>26</v>
      </c>
      <c r="F142" s="2" t="s">
        <v>40</v>
      </c>
      <c r="G142" s="2">
        <v>20</v>
      </c>
      <c r="H142" s="3">
        <v>484.17</v>
      </c>
      <c r="I142" s="3">
        <v>9683.4</v>
      </c>
      <c r="J142" s="3">
        <v>5564.28</v>
      </c>
      <c r="K142" s="3">
        <v>4119.12</v>
      </c>
      <c r="L142" s="2" t="s">
        <v>37</v>
      </c>
      <c r="M142" s="2">
        <v>3.8</v>
      </c>
    </row>
    <row r="143" spans="1:13" x14ac:dyDescent="0.25">
      <c r="A143" s="2" t="s">
        <v>213</v>
      </c>
      <c r="B143" s="11">
        <v>45448</v>
      </c>
      <c r="C143" s="2" t="s">
        <v>21</v>
      </c>
      <c r="D143" s="2" t="s">
        <v>106</v>
      </c>
      <c r="E143" s="2" t="s">
        <v>26</v>
      </c>
      <c r="F143" s="2" t="s">
        <v>40</v>
      </c>
      <c r="G143" s="2">
        <v>9</v>
      </c>
      <c r="H143" s="3">
        <v>338.36</v>
      </c>
      <c r="I143" s="3">
        <v>3045.24</v>
      </c>
      <c r="J143" s="3">
        <v>1849.19</v>
      </c>
      <c r="K143" s="3">
        <v>1196.05</v>
      </c>
      <c r="L143" s="2" t="s">
        <v>37</v>
      </c>
      <c r="M143" s="2">
        <v>4.5</v>
      </c>
    </row>
    <row r="144" spans="1:13" x14ac:dyDescent="0.25">
      <c r="A144" s="2" t="s">
        <v>214</v>
      </c>
      <c r="B144" s="11">
        <v>45452</v>
      </c>
      <c r="C144" s="2" t="s">
        <v>21</v>
      </c>
      <c r="D144" s="2" t="s">
        <v>158</v>
      </c>
      <c r="E144" s="2" t="s">
        <v>24</v>
      </c>
      <c r="F144" s="2" t="s">
        <v>43</v>
      </c>
      <c r="G144" s="2">
        <v>24</v>
      </c>
      <c r="H144" s="3">
        <v>18.93</v>
      </c>
      <c r="I144" s="3">
        <v>454.32</v>
      </c>
      <c r="J144" s="3">
        <v>216.81</v>
      </c>
      <c r="K144" s="3">
        <v>237.51</v>
      </c>
      <c r="L144" s="2" t="s">
        <v>37</v>
      </c>
      <c r="M144" s="2">
        <v>4.9000000000000004</v>
      </c>
    </row>
    <row r="145" spans="1:13" x14ac:dyDescent="0.25">
      <c r="A145" s="2" t="s">
        <v>215</v>
      </c>
      <c r="B145" s="11">
        <v>45448</v>
      </c>
      <c r="C145" s="2" t="s">
        <v>17</v>
      </c>
      <c r="D145" s="2" t="s">
        <v>16</v>
      </c>
      <c r="E145" s="2" t="s">
        <v>26</v>
      </c>
      <c r="F145" s="2" t="s">
        <v>51</v>
      </c>
      <c r="G145" s="2">
        <v>5</v>
      </c>
      <c r="H145" s="3">
        <v>154.94</v>
      </c>
      <c r="I145" s="3">
        <v>774.7</v>
      </c>
      <c r="J145" s="3">
        <v>462.52</v>
      </c>
      <c r="K145" s="3">
        <v>312.18</v>
      </c>
      <c r="L145" s="2" t="s">
        <v>37</v>
      </c>
      <c r="M145" s="2">
        <v>4</v>
      </c>
    </row>
    <row r="146" spans="1:13" x14ac:dyDescent="0.25">
      <c r="A146" s="2" t="s">
        <v>216</v>
      </c>
      <c r="B146" s="11">
        <v>45451</v>
      </c>
      <c r="C146" s="2" t="s">
        <v>67</v>
      </c>
      <c r="D146" s="2" t="s">
        <v>68</v>
      </c>
      <c r="E146" s="2" t="s">
        <v>26</v>
      </c>
      <c r="F146" s="2" t="s">
        <v>45</v>
      </c>
      <c r="G146" s="2">
        <v>9</v>
      </c>
      <c r="H146" s="3">
        <v>302.64999999999998</v>
      </c>
      <c r="I146" s="3">
        <v>2723.85</v>
      </c>
      <c r="J146" s="3">
        <v>1194.58</v>
      </c>
      <c r="K146" s="3">
        <v>1529.27</v>
      </c>
      <c r="L146" s="2" t="s">
        <v>37</v>
      </c>
      <c r="M146" s="2">
        <v>3.4</v>
      </c>
    </row>
    <row r="147" spans="1:13" x14ac:dyDescent="0.25">
      <c r="A147" s="2" t="s">
        <v>217</v>
      </c>
      <c r="B147" s="11">
        <v>45467</v>
      </c>
      <c r="C147" s="2" t="s">
        <v>6</v>
      </c>
      <c r="D147" s="2" t="s">
        <v>160</v>
      </c>
      <c r="E147" s="2" t="s">
        <v>24</v>
      </c>
      <c r="F147" s="2" t="s">
        <v>43</v>
      </c>
      <c r="G147" s="2">
        <v>24</v>
      </c>
      <c r="H147" s="3">
        <v>341.42</v>
      </c>
      <c r="I147" s="3">
        <v>8194.08</v>
      </c>
      <c r="J147" s="3">
        <v>3764.22</v>
      </c>
      <c r="K147" s="3">
        <v>4429.8599999999997</v>
      </c>
      <c r="L147" s="2" t="s">
        <v>37</v>
      </c>
      <c r="M147" s="2">
        <v>3.9</v>
      </c>
    </row>
    <row r="148" spans="1:13" x14ac:dyDescent="0.25">
      <c r="A148" s="2" t="s">
        <v>218</v>
      </c>
      <c r="B148" s="11">
        <v>45461</v>
      </c>
      <c r="C148" s="2" t="s">
        <v>12</v>
      </c>
      <c r="D148" s="2" t="s">
        <v>73</v>
      </c>
      <c r="E148" s="2" t="s">
        <v>26</v>
      </c>
      <c r="F148" s="2" t="s">
        <v>43</v>
      </c>
      <c r="G148" s="2">
        <v>31</v>
      </c>
      <c r="H148" s="3">
        <v>452.95</v>
      </c>
      <c r="I148" s="3">
        <v>14041.45</v>
      </c>
      <c r="J148" s="3">
        <v>6297.65</v>
      </c>
      <c r="K148" s="3">
        <v>7743.8</v>
      </c>
      <c r="L148" s="2" t="s">
        <v>37</v>
      </c>
      <c r="M148" s="2">
        <v>4.4000000000000004</v>
      </c>
    </row>
    <row r="149" spans="1:13" x14ac:dyDescent="0.25">
      <c r="A149" s="2" t="s">
        <v>219</v>
      </c>
      <c r="B149" s="11">
        <v>45461</v>
      </c>
      <c r="C149" s="2" t="s">
        <v>14</v>
      </c>
      <c r="D149" s="2" t="s">
        <v>85</v>
      </c>
      <c r="E149" s="2" t="s">
        <v>26</v>
      </c>
      <c r="F149" s="2" t="s">
        <v>45</v>
      </c>
      <c r="G149" s="2">
        <v>33</v>
      </c>
      <c r="H149" s="3">
        <v>268.45999999999998</v>
      </c>
      <c r="I149" s="3">
        <v>8859.18</v>
      </c>
      <c r="J149" s="3">
        <v>5683.76</v>
      </c>
      <c r="K149" s="3">
        <v>3175.42</v>
      </c>
      <c r="L149" s="2" t="s">
        <v>37</v>
      </c>
      <c r="M149" s="2">
        <v>4.5999999999999996</v>
      </c>
    </row>
    <row r="150" spans="1:13" x14ac:dyDescent="0.25">
      <c r="A150" s="2" t="s">
        <v>220</v>
      </c>
      <c r="B150" s="11">
        <v>45452</v>
      </c>
      <c r="C150" s="2" t="s">
        <v>6</v>
      </c>
      <c r="D150" s="2" t="s">
        <v>160</v>
      </c>
      <c r="E150" s="2" t="s">
        <v>22</v>
      </c>
      <c r="F150" s="2" t="s">
        <v>36</v>
      </c>
      <c r="G150" s="2">
        <v>24</v>
      </c>
      <c r="H150" s="3">
        <v>281.72000000000003</v>
      </c>
      <c r="I150" s="3">
        <v>6761.28</v>
      </c>
      <c r="J150" s="3">
        <v>2877.92</v>
      </c>
      <c r="K150" s="3">
        <v>3883.36</v>
      </c>
      <c r="L150" s="2" t="s">
        <v>37</v>
      </c>
      <c r="M150" s="2">
        <v>4.7</v>
      </c>
    </row>
    <row r="151" spans="1:13" x14ac:dyDescent="0.25">
      <c r="A151" s="2" t="s">
        <v>221</v>
      </c>
      <c r="B151" s="11">
        <v>45467</v>
      </c>
      <c r="C151" s="2" t="s">
        <v>17</v>
      </c>
      <c r="D151" s="2" t="s">
        <v>59</v>
      </c>
      <c r="E151" s="2" t="s">
        <v>23</v>
      </c>
      <c r="F151" s="2" t="s">
        <v>43</v>
      </c>
      <c r="G151" s="2">
        <v>29</v>
      </c>
      <c r="H151" s="3">
        <v>453.6</v>
      </c>
      <c r="I151" s="3">
        <v>13154.4</v>
      </c>
      <c r="J151" s="3">
        <v>5746.33</v>
      </c>
      <c r="K151" s="3">
        <v>7408.07</v>
      </c>
      <c r="L151" s="2" t="s">
        <v>47</v>
      </c>
      <c r="M151" s="2">
        <v>3.9</v>
      </c>
    </row>
    <row r="152" spans="1:13" x14ac:dyDescent="0.25">
      <c r="A152" s="2" t="s">
        <v>222</v>
      </c>
      <c r="B152" s="11">
        <v>45492</v>
      </c>
      <c r="C152" s="2" t="s">
        <v>6</v>
      </c>
      <c r="D152" s="2" t="s">
        <v>160</v>
      </c>
      <c r="E152" s="2" t="s">
        <v>22</v>
      </c>
      <c r="F152" s="2" t="s">
        <v>36</v>
      </c>
      <c r="G152" s="2">
        <v>4</v>
      </c>
      <c r="H152" s="3">
        <v>204.26</v>
      </c>
      <c r="I152" s="3">
        <v>817.04</v>
      </c>
      <c r="J152" s="3">
        <v>403.2</v>
      </c>
      <c r="K152" s="3">
        <v>413.84</v>
      </c>
      <c r="L152" s="2" t="s">
        <v>37</v>
      </c>
      <c r="M152" s="2">
        <v>3.8</v>
      </c>
    </row>
    <row r="153" spans="1:13" x14ac:dyDescent="0.25">
      <c r="A153" s="2" t="s">
        <v>223</v>
      </c>
      <c r="B153" s="11">
        <v>45487</v>
      </c>
      <c r="C153" s="2" t="s">
        <v>67</v>
      </c>
      <c r="D153" s="2" t="s">
        <v>89</v>
      </c>
      <c r="E153" s="2" t="s">
        <v>24</v>
      </c>
      <c r="F153" s="2" t="s">
        <v>43</v>
      </c>
      <c r="G153" s="2">
        <v>46</v>
      </c>
      <c r="H153" s="3">
        <v>328.48</v>
      </c>
      <c r="I153" s="3">
        <v>15110.08</v>
      </c>
      <c r="J153" s="3">
        <v>9033.49</v>
      </c>
      <c r="K153" s="3">
        <v>6076.59</v>
      </c>
      <c r="L153" s="2" t="s">
        <v>37</v>
      </c>
      <c r="M153" s="2">
        <v>3.3</v>
      </c>
    </row>
    <row r="154" spans="1:13" x14ac:dyDescent="0.25">
      <c r="A154" s="2" t="s">
        <v>224</v>
      </c>
      <c r="B154" s="11">
        <v>45492</v>
      </c>
      <c r="C154" s="2" t="s">
        <v>17</v>
      </c>
      <c r="D154" s="2" t="s">
        <v>104</v>
      </c>
      <c r="E154" s="2" t="s">
        <v>23</v>
      </c>
      <c r="F154" s="2" t="s">
        <v>45</v>
      </c>
      <c r="G154" s="2">
        <v>29</v>
      </c>
      <c r="H154" s="3">
        <v>311.52</v>
      </c>
      <c r="I154" s="3">
        <v>9034.08</v>
      </c>
      <c r="J154" s="3">
        <v>5659.53</v>
      </c>
      <c r="K154" s="3">
        <v>3374.55</v>
      </c>
      <c r="L154" s="2" t="s">
        <v>37</v>
      </c>
      <c r="M154" s="2">
        <v>3</v>
      </c>
    </row>
    <row r="155" spans="1:13" x14ac:dyDescent="0.25">
      <c r="A155" s="2" t="s">
        <v>225</v>
      </c>
      <c r="B155" s="11">
        <v>45486</v>
      </c>
      <c r="C155" s="2" t="s">
        <v>21</v>
      </c>
      <c r="D155" s="2" t="s">
        <v>20</v>
      </c>
      <c r="E155" s="2" t="s">
        <v>25</v>
      </c>
      <c r="F155" s="2" t="s">
        <v>51</v>
      </c>
      <c r="G155" s="2">
        <v>50</v>
      </c>
      <c r="H155" s="3">
        <v>151.16999999999999</v>
      </c>
      <c r="I155" s="3">
        <v>7558.5</v>
      </c>
      <c r="J155" s="3">
        <v>3592.46</v>
      </c>
      <c r="K155" s="3">
        <v>3966.04</v>
      </c>
      <c r="L155" s="2" t="s">
        <v>37</v>
      </c>
      <c r="M155" s="2">
        <v>3.1</v>
      </c>
    </row>
    <row r="156" spans="1:13" x14ac:dyDescent="0.25">
      <c r="A156" s="2" t="s">
        <v>226</v>
      </c>
      <c r="B156" s="11">
        <v>45485</v>
      </c>
      <c r="C156" s="2" t="s">
        <v>10</v>
      </c>
      <c r="D156" s="2" t="s">
        <v>115</v>
      </c>
      <c r="E156" s="2" t="s">
        <v>23</v>
      </c>
      <c r="F156" s="2" t="s">
        <v>36</v>
      </c>
      <c r="G156" s="2">
        <v>39</v>
      </c>
      <c r="H156" s="3">
        <v>272.67</v>
      </c>
      <c r="I156" s="3">
        <v>10634.13</v>
      </c>
      <c r="J156" s="3">
        <v>5933.72</v>
      </c>
      <c r="K156" s="3">
        <v>4700.41</v>
      </c>
      <c r="L156" s="2" t="s">
        <v>37</v>
      </c>
      <c r="M156" s="2">
        <v>4.2</v>
      </c>
    </row>
    <row r="157" spans="1:13" x14ac:dyDescent="0.25">
      <c r="A157" s="2" t="s">
        <v>227</v>
      </c>
      <c r="B157" s="11">
        <v>45481</v>
      </c>
      <c r="C157" s="2" t="s">
        <v>67</v>
      </c>
      <c r="D157" s="2" t="s">
        <v>110</v>
      </c>
      <c r="E157" s="2" t="s">
        <v>24</v>
      </c>
      <c r="F157" s="2" t="s">
        <v>40</v>
      </c>
      <c r="G157" s="2">
        <v>37</v>
      </c>
      <c r="H157" s="3">
        <v>214.12</v>
      </c>
      <c r="I157" s="3">
        <v>7922.44</v>
      </c>
      <c r="J157" s="3">
        <v>4484.84</v>
      </c>
      <c r="K157" s="3">
        <v>3437.6</v>
      </c>
      <c r="L157" s="2" t="s">
        <v>77</v>
      </c>
      <c r="M157" s="2">
        <v>3.2</v>
      </c>
    </row>
    <row r="158" spans="1:13" x14ac:dyDescent="0.25">
      <c r="A158" s="2" t="s">
        <v>228</v>
      </c>
      <c r="B158" s="11">
        <v>45478</v>
      </c>
      <c r="C158" s="2" t="s">
        <v>6</v>
      </c>
      <c r="D158" s="2" t="s">
        <v>160</v>
      </c>
      <c r="E158" s="2" t="s">
        <v>22</v>
      </c>
      <c r="F158" s="2" t="s">
        <v>36</v>
      </c>
      <c r="G158" s="2">
        <v>31</v>
      </c>
      <c r="H158" s="3">
        <v>31.33</v>
      </c>
      <c r="I158" s="3">
        <v>971.23</v>
      </c>
      <c r="J158" s="3">
        <v>482.43</v>
      </c>
      <c r="K158" s="3">
        <v>488.8</v>
      </c>
      <c r="L158" s="2" t="s">
        <v>37</v>
      </c>
      <c r="M158" s="2">
        <v>3.7</v>
      </c>
    </row>
    <row r="159" spans="1:13" x14ac:dyDescent="0.25">
      <c r="A159" s="2" t="s">
        <v>229</v>
      </c>
      <c r="B159" s="11">
        <v>45490</v>
      </c>
      <c r="C159" s="2" t="s">
        <v>67</v>
      </c>
      <c r="D159" s="2" t="s">
        <v>110</v>
      </c>
      <c r="E159" s="2" t="s">
        <v>24</v>
      </c>
      <c r="F159" s="2" t="s">
        <v>45</v>
      </c>
      <c r="G159" s="2">
        <v>47</v>
      </c>
      <c r="H159" s="3">
        <v>331.98</v>
      </c>
      <c r="I159" s="3">
        <v>15603.06</v>
      </c>
      <c r="J159" s="3">
        <v>6645.59</v>
      </c>
      <c r="K159" s="3">
        <v>8957.4699999999993</v>
      </c>
      <c r="L159" s="2" t="s">
        <v>37</v>
      </c>
      <c r="M159" s="2">
        <v>4.2</v>
      </c>
    </row>
    <row r="160" spans="1:13" x14ac:dyDescent="0.25">
      <c r="A160" s="2" t="s">
        <v>230</v>
      </c>
      <c r="B160" s="11">
        <v>45489</v>
      </c>
      <c r="C160" s="2" t="s">
        <v>67</v>
      </c>
      <c r="D160" s="2" t="s">
        <v>110</v>
      </c>
      <c r="E160" s="2" t="s">
        <v>23</v>
      </c>
      <c r="F160" s="2" t="s">
        <v>45</v>
      </c>
      <c r="G160" s="2">
        <v>50</v>
      </c>
      <c r="H160" s="3">
        <v>345.49</v>
      </c>
      <c r="I160" s="3">
        <v>17274.5</v>
      </c>
      <c r="J160" s="3">
        <v>11145.59</v>
      </c>
      <c r="K160" s="3">
        <v>6128.91</v>
      </c>
      <c r="L160" s="2" t="s">
        <v>37</v>
      </c>
      <c r="M160" s="2">
        <v>4</v>
      </c>
    </row>
    <row r="161" spans="1:13" x14ac:dyDescent="0.25">
      <c r="A161" s="2" t="s">
        <v>231</v>
      </c>
      <c r="B161" s="11">
        <v>45476</v>
      </c>
      <c r="C161" s="2" t="s">
        <v>19</v>
      </c>
      <c r="D161" s="2" t="s">
        <v>39</v>
      </c>
      <c r="E161" s="2" t="s">
        <v>24</v>
      </c>
      <c r="F161" s="2" t="s">
        <v>36</v>
      </c>
      <c r="G161" s="2">
        <v>19</v>
      </c>
      <c r="H161" s="3">
        <v>108.78</v>
      </c>
      <c r="I161" s="3">
        <v>2066.8200000000002</v>
      </c>
      <c r="J161" s="3">
        <v>1235.5</v>
      </c>
      <c r="K161" s="3">
        <v>831.32</v>
      </c>
      <c r="L161" s="2" t="s">
        <v>37</v>
      </c>
      <c r="M161" s="2">
        <v>4.8</v>
      </c>
    </row>
    <row r="162" spans="1:13" x14ac:dyDescent="0.25">
      <c r="A162" s="2" t="s">
        <v>232</v>
      </c>
      <c r="B162" s="11">
        <v>45498</v>
      </c>
      <c r="C162" s="2" t="s">
        <v>19</v>
      </c>
      <c r="D162" s="2" t="s">
        <v>49</v>
      </c>
      <c r="E162" s="2" t="s">
        <v>22</v>
      </c>
      <c r="F162" s="2" t="s">
        <v>36</v>
      </c>
      <c r="G162" s="2">
        <v>3</v>
      </c>
      <c r="H162" s="3">
        <v>379.11</v>
      </c>
      <c r="I162" s="3">
        <v>1137.33</v>
      </c>
      <c r="J162" s="3">
        <v>509.27</v>
      </c>
      <c r="K162" s="3">
        <v>628.05999999999995</v>
      </c>
      <c r="L162" s="2" t="s">
        <v>37</v>
      </c>
      <c r="M162" s="2">
        <v>3.7</v>
      </c>
    </row>
    <row r="163" spans="1:13" x14ac:dyDescent="0.25">
      <c r="A163" s="2" t="s">
        <v>233</v>
      </c>
      <c r="B163" s="11">
        <v>45475</v>
      </c>
      <c r="C163" s="2" t="s">
        <v>67</v>
      </c>
      <c r="D163" s="2" t="s">
        <v>80</v>
      </c>
      <c r="E163" s="2" t="s">
        <v>23</v>
      </c>
      <c r="F163" s="2" t="s">
        <v>43</v>
      </c>
      <c r="G163" s="2">
        <v>26</v>
      </c>
      <c r="H163" s="3">
        <v>374.22</v>
      </c>
      <c r="I163" s="3">
        <v>9729.7199999999993</v>
      </c>
      <c r="J163" s="3">
        <v>6068.03</v>
      </c>
      <c r="K163" s="3">
        <v>3661.69</v>
      </c>
      <c r="L163" s="2" t="s">
        <v>37</v>
      </c>
      <c r="M163" s="2">
        <v>3.8</v>
      </c>
    </row>
    <row r="164" spans="1:13" x14ac:dyDescent="0.25">
      <c r="A164" s="2" t="s">
        <v>234</v>
      </c>
      <c r="B164" s="11">
        <v>45501</v>
      </c>
      <c r="C164" s="2" t="s">
        <v>67</v>
      </c>
      <c r="D164" s="2" t="s">
        <v>68</v>
      </c>
      <c r="E164" s="2" t="s">
        <v>26</v>
      </c>
      <c r="F164" s="2" t="s">
        <v>45</v>
      </c>
      <c r="G164" s="2">
        <v>18</v>
      </c>
      <c r="H164" s="3">
        <v>402.56</v>
      </c>
      <c r="I164" s="3">
        <v>7246.08</v>
      </c>
      <c r="J164" s="3">
        <v>4215.55</v>
      </c>
      <c r="K164" s="3">
        <v>3030.53</v>
      </c>
      <c r="L164" s="2" t="s">
        <v>37</v>
      </c>
      <c r="M164" s="2">
        <v>3.2</v>
      </c>
    </row>
    <row r="165" spans="1:13" x14ac:dyDescent="0.25">
      <c r="A165" s="2" t="s">
        <v>235</v>
      </c>
      <c r="B165" s="11">
        <v>45477</v>
      </c>
      <c r="C165" s="2" t="s">
        <v>67</v>
      </c>
      <c r="D165" s="2" t="s">
        <v>89</v>
      </c>
      <c r="E165" s="2" t="s">
        <v>25</v>
      </c>
      <c r="F165" s="2" t="s">
        <v>45</v>
      </c>
      <c r="G165" s="2">
        <v>6</v>
      </c>
      <c r="H165" s="3">
        <v>170.68</v>
      </c>
      <c r="I165" s="3">
        <v>1024.08</v>
      </c>
      <c r="J165" s="3">
        <v>485.32</v>
      </c>
      <c r="K165" s="3">
        <v>538.76</v>
      </c>
      <c r="L165" s="2" t="s">
        <v>37</v>
      </c>
      <c r="M165" s="2">
        <v>3.9</v>
      </c>
    </row>
    <row r="166" spans="1:13" x14ac:dyDescent="0.25">
      <c r="A166" s="2" t="s">
        <v>236</v>
      </c>
      <c r="B166" s="11">
        <v>45478</v>
      </c>
      <c r="C166" s="2" t="s">
        <v>67</v>
      </c>
      <c r="D166" s="2" t="s">
        <v>80</v>
      </c>
      <c r="E166" s="2" t="s">
        <v>25</v>
      </c>
      <c r="F166" s="2" t="s">
        <v>36</v>
      </c>
      <c r="G166" s="2">
        <v>3</v>
      </c>
      <c r="H166" s="3">
        <v>366.14</v>
      </c>
      <c r="I166" s="3">
        <v>1098.42</v>
      </c>
      <c r="J166" s="3">
        <v>689.7</v>
      </c>
      <c r="K166" s="3">
        <v>408.72</v>
      </c>
      <c r="L166" s="2" t="s">
        <v>37</v>
      </c>
      <c r="M166" s="2">
        <v>4.2</v>
      </c>
    </row>
    <row r="167" spans="1:13" x14ac:dyDescent="0.25">
      <c r="A167" s="2" t="s">
        <v>237</v>
      </c>
      <c r="B167" s="11">
        <v>45494</v>
      </c>
      <c r="C167" s="2" t="s">
        <v>6</v>
      </c>
      <c r="D167" s="2" t="s">
        <v>5</v>
      </c>
      <c r="E167" s="2" t="s">
        <v>23</v>
      </c>
      <c r="F167" s="2" t="s">
        <v>40</v>
      </c>
      <c r="G167" s="2">
        <v>43</v>
      </c>
      <c r="H167" s="3">
        <v>322.38</v>
      </c>
      <c r="I167" s="3">
        <v>13862.34</v>
      </c>
      <c r="J167" s="3">
        <v>6804.02</v>
      </c>
      <c r="K167" s="3">
        <v>7058.32</v>
      </c>
      <c r="L167" s="2" t="s">
        <v>37</v>
      </c>
      <c r="M167" s="2">
        <v>4.5999999999999996</v>
      </c>
    </row>
    <row r="168" spans="1:13" x14ac:dyDescent="0.25">
      <c r="A168" s="2" t="s">
        <v>238</v>
      </c>
      <c r="B168" s="11">
        <v>45479</v>
      </c>
      <c r="C168" s="2" t="s">
        <v>19</v>
      </c>
      <c r="D168" s="2" t="s">
        <v>39</v>
      </c>
      <c r="E168" s="2" t="s">
        <v>25</v>
      </c>
      <c r="F168" s="2" t="s">
        <v>51</v>
      </c>
      <c r="G168" s="2">
        <v>9</v>
      </c>
      <c r="H168" s="3">
        <v>42.94</v>
      </c>
      <c r="I168" s="3">
        <v>386.46</v>
      </c>
      <c r="J168" s="3">
        <v>229.8</v>
      </c>
      <c r="K168" s="3">
        <v>156.66</v>
      </c>
      <c r="L168" s="2" t="s">
        <v>37</v>
      </c>
      <c r="M168" s="2">
        <v>3.7</v>
      </c>
    </row>
    <row r="169" spans="1:13" x14ac:dyDescent="0.25">
      <c r="A169" s="2" t="s">
        <v>239</v>
      </c>
      <c r="B169" s="11">
        <v>45499</v>
      </c>
      <c r="C169" s="2" t="s">
        <v>17</v>
      </c>
      <c r="D169" s="2" t="s">
        <v>104</v>
      </c>
      <c r="E169" s="2" t="s">
        <v>26</v>
      </c>
      <c r="F169" s="2" t="s">
        <v>36</v>
      </c>
      <c r="G169" s="2">
        <v>24</v>
      </c>
      <c r="H169" s="3">
        <v>192.29</v>
      </c>
      <c r="I169" s="3">
        <v>4614.96</v>
      </c>
      <c r="J169" s="3">
        <v>2726.39</v>
      </c>
      <c r="K169" s="3">
        <v>1888.57</v>
      </c>
      <c r="L169" s="2" t="s">
        <v>37</v>
      </c>
      <c r="M169" s="2">
        <v>4.0999999999999996</v>
      </c>
    </row>
    <row r="170" spans="1:13" x14ac:dyDescent="0.25">
      <c r="A170" s="2" t="s">
        <v>240</v>
      </c>
      <c r="B170" s="11">
        <v>45495</v>
      </c>
      <c r="C170" s="2" t="s">
        <v>14</v>
      </c>
      <c r="D170" s="2" t="s">
        <v>56</v>
      </c>
      <c r="E170" s="2" t="s">
        <v>26</v>
      </c>
      <c r="F170" s="2" t="s">
        <v>40</v>
      </c>
      <c r="G170" s="2">
        <v>8</v>
      </c>
      <c r="H170" s="3">
        <v>22.7</v>
      </c>
      <c r="I170" s="3">
        <v>181.6</v>
      </c>
      <c r="J170" s="3">
        <v>81.09</v>
      </c>
      <c r="K170" s="3">
        <v>100.51</v>
      </c>
      <c r="L170" s="2" t="s">
        <v>37</v>
      </c>
      <c r="M170" s="2">
        <v>4</v>
      </c>
    </row>
    <row r="171" spans="1:13" x14ac:dyDescent="0.25">
      <c r="A171" s="2" t="s">
        <v>241</v>
      </c>
      <c r="B171" s="11">
        <v>45487</v>
      </c>
      <c r="C171" s="2" t="s">
        <v>14</v>
      </c>
      <c r="D171" s="2" t="s">
        <v>85</v>
      </c>
      <c r="E171" s="2" t="s">
        <v>25</v>
      </c>
      <c r="F171" s="2" t="s">
        <v>45</v>
      </c>
      <c r="G171" s="2">
        <v>14</v>
      </c>
      <c r="H171" s="3">
        <v>498.22</v>
      </c>
      <c r="I171" s="3">
        <v>6975.08</v>
      </c>
      <c r="J171" s="3">
        <v>3288.01</v>
      </c>
      <c r="K171" s="3">
        <v>3687.07</v>
      </c>
      <c r="L171" s="2" t="s">
        <v>37</v>
      </c>
      <c r="M171" s="2">
        <v>4.8</v>
      </c>
    </row>
    <row r="172" spans="1:13" x14ac:dyDescent="0.25">
      <c r="A172" s="2" t="s">
        <v>242</v>
      </c>
      <c r="B172" s="11">
        <v>45493</v>
      </c>
      <c r="C172" s="2" t="s">
        <v>10</v>
      </c>
      <c r="D172" s="2" t="s">
        <v>115</v>
      </c>
      <c r="E172" s="2" t="s">
        <v>24</v>
      </c>
      <c r="F172" s="2" t="s">
        <v>36</v>
      </c>
      <c r="G172" s="2">
        <v>12</v>
      </c>
      <c r="H172" s="3">
        <v>450.35</v>
      </c>
      <c r="I172" s="3">
        <v>5404.2</v>
      </c>
      <c r="J172" s="3">
        <v>2763.05</v>
      </c>
      <c r="K172" s="3">
        <v>2641.15</v>
      </c>
      <c r="L172" s="2" t="s">
        <v>37</v>
      </c>
      <c r="M172" s="2">
        <v>3.2</v>
      </c>
    </row>
    <row r="173" spans="1:13" x14ac:dyDescent="0.25">
      <c r="A173" s="2" t="s">
        <v>243</v>
      </c>
      <c r="B173" s="11">
        <v>45476</v>
      </c>
      <c r="C173" s="2" t="s">
        <v>14</v>
      </c>
      <c r="D173" s="2" t="s">
        <v>186</v>
      </c>
      <c r="E173" s="2" t="s">
        <v>24</v>
      </c>
      <c r="F173" s="2" t="s">
        <v>51</v>
      </c>
      <c r="G173" s="2">
        <v>11</v>
      </c>
      <c r="H173" s="3">
        <v>358.79</v>
      </c>
      <c r="I173" s="3">
        <v>3946.69</v>
      </c>
      <c r="J173" s="3">
        <v>2493.64</v>
      </c>
      <c r="K173" s="3">
        <v>1453.05</v>
      </c>
      <c r="L173" s="2" t="s">
        <v>37</v>
      </c>
      <c r="M173" s="2">
        <v>4.3</v>
      </c>
    </row>
    <row r="174" spans="1:13" x14ac:dyDescent="0.25">
      <c r="A174" s="2" t="s">
        <v>244</v>
      </c>
      <c r="B174" s="11">
        <v>45486</v>
      </c>
      <c r="C174" s="2" t="s">
        <v>12</v>
      </c>
      <c r="D174" s="2" t="s">
        <v>71</v>
      </c>
      <c r="E174" s="2" t="s">
        <v>24</v>
      </c>
      <c r="F174" s="2" t="s">
        <v>43</v>
      </c>
      <c r="G174" s="2">
        <v>16</v>
      </c>
      <c r="H174" s="3">
        <v>397.28</v>
      </c>
      <c r="I174" s="3">
        <v>6356.48</v>
      </c>
      <c r="J174" s="3">
        <v>2584.36</v>
      </c>
      <c r="K174" s="3">
        <v>3772.12</v>
      </c>
      <c r="L174" s="2" t="s">
        <v>37</v>
      </c>
      <c r="M174" s="2">
        <v>4.0999999999999996</v>
      </c>
    </row>
    <row r="175" spans="1:13" x14ac:dyDescent="0.25">
      <c r="A175" s="2" t="s">
        <v>245</v>
      </c>
      <c r="B175" s="11">
        <v>45486</v>
      </c>
      <c r="C175" s="2" t="s">
        <v>17</v>
      </c>
      <c r="D175" s="2" t="s">
        <v>102</v>
      </c>
      <c r="E175" s="2" t="s">
        <v>25</v>
      </c>
      <c r="F175" s="2" t="s">
        <v>51</v>
      </c>
      <c r="G175" s="2">
        <v>6</v>
      </c>
      <c r="H175" s="3">
        <v>42.22</v>
      </c>
      <c r="I175" s="3">
        <v>253.32</v>
      </c>
      <c r="J175" s="3">
        <v>126.54</v>
      </c>
      <c r="K175" s="3">
        <v>126.78</v>
      </c>
      <c r="L175" s="2" t="s">
        <v>37</v>
      </c>
      <c r="M175" s="2">
        <v>4.4000000000000004</v>
      </c>
    </row>
    <row r="176" spans="1:13" x14ac:dyDescent="0.25">
      <c r="A176" s="2" t="s">
        <v>246</v>
      </c>
      <c r="B176" s="11">
        <v>45493</v>
      </c>
      <c r="C176" s="2" t="s">
        <v>21</v>
      </c>
      <c r="D176" s="2" t="s">
        <v>158</v>
      </c>
      <c r="E176" s="2" t="s">
        <v>25</v>
      </c>
      <c r="F176" s="2" t="s">
        <v>51</v>
      </c>
      <c r="G176" s="2">
        <v>5</v>
      </c>
      <c r="H176" s="3">
        <v>71.41</v>
      </c>
      <c r="I176" s="3">
        <v>357.05</v>
      </c>
      <c r="J176" s="3">
        <v>171.12</v>
      </c>
      <c r="K176" s="3">
        <v>185.93</v>
      </c>
      <c r="L176" s="2" t="s">
        <v>37</v>
      </c>
      <c r="M176" s="2">
        <v>3.1</v>
      </c>
    </row>
    <row r="177" spans="1:13" x14ac:dyDescent="0.25">
      <c r="A177" s="2" t="s">
        <v>247</v>
      </c>
      <c r="B177" s="11">
        <v>45519</v>
      </c>
      <c r="C177" s="2" t="s">
        <v>17</v>
      </c>
      <c r="D177" s="2" t="s">
        <v>16</v>
      </c>
      <c r="E177" s="2" t="s">
        <v>26</v>
      </c>
      <c r="F177" s="2" t="s">
        <v>45</v>
      </c>
      <c r="G177" s="2">
        <v>28</v>
      </c>
      <c r="H177" s="3">
        <v>256.39999999999998</v>
      </c>
      <c r="I177" s="3">
        <v>7179.2</v>
      </c>
      <c r="J177" s="3">
        <v>4429.95</v>
      </c>
      <c r="K177" s="3">
        <v>2749.25</v>
      </c>
      <c r="L177" s="2" t="s">
        <v>37</v>
      </c>
      <c r="M177" s="2">
        <v>4.7</v>
      </c>
    </row>
    <row r="178" spans="1:13" x14ac:dyDescent="0.25">
      <c r="A178" s="2" t="s">
        <v>248</v>
      </c>
      <c r="B178" s="11">
        <v>45521</v>
      </c>
      <c r="C178" s="2" t="s">
        <v>17</v>
      </c>
      <c r="D178" s="2" t="s">
        <v>59</v>
      </c>
      <c r="E178" s="2" t="s">
        <v>24</v>
      </c>
      <c r="F178" s="2" t="s">
        <v>40</v>
      </c>
      <c r="G178" s="2">
        <v>46</v>
      </c>
      <c r="H178" s="3">
        <v>120.48</v>
      </c>
      <c r="I178" s="3">
        <v>5542.08</v>
      </c>
      <c r="J178" s="3">
        <v>3529.59</v>
      </c>
      <c r="K178" s="3">
        <v>2012.49</v>
      </c>
      <c r="L178" s="2" t="s">
        <v>37</v>
      </c>
      <c r="M178" s="2">
        <v>4</v>
      </c>
    </row>
    <row r="179" spans="1:13" x14ac:dyDescent="0.25">
      <c r="A179" s="2" t="s">
        <v>249</v>
      </c>
      <c r="B179" s="11">
        <v>45513</v>
      </c>
      <c r="C179" s="2" t="s">
        <v>14</v>
      </c>
      <c r="D179" s="2" t="s">
        <v>56</v>
      </c>
      <c r="E179" s="2" t="s">
        <v>23</v>
      </c>
      <c r="F179" s="2" t="s">
        <v>51</v>
      </c>
      <c r="G179" s="2">
        <v>41</v>
      </c>
      <c r="H179" s="3">
        <v>158.38</v>
      </c>
      <c r="I179" s="3">
        <v>6493.58</v>
      </c>
      <c r="J179" s="3">
        <v>3463.48</v>
      </c>
      <c r="K179" s="3">
        <v>3030.1</v>
      </c>
      <c r="L179" s="2" t="s">
        <v>77</v>
      </c>
      <c r="M179" s="2">
        <v>4</v>
      </c>
    </row>
    <row r="180" spans="1:13" x14ac:dyDescent="0.25">
      <c r="A180" s="2" t="s">
        <v>250</v>
      </c>
      <c r="B180" s="11">
        <v>45522</v>
      </c>
      <c r="C180" s="2" t="s">
        <v>17</v>
      </c>
      <c r="D180" s="2" t="s">
        <v>16</v>
      </c>
      <c r="E180" s="2" t="s">
        <v>26</v>
      </c>
      <c r="F180" s="2" t="s">
        <v>40</v>
      </c>
      <c r="G180" s="2">
        <v>43</v>
      </c>
      <c r="H180" s="3">
        <v>315.99</v>
      </c>
      <c r="I180" s="3">
        <v>13587.57</v>
      </c>
      <c r="J180" s="3">
        <v>8499.0300000000007</v>
      </c>
      <c r="K180" s="3">
        <v>5088.54</v>
      </c>
      <c r="L180" s="2" t="s">
        <v>37</v>
      </c>
      <c r="M180" s="2">
        <v>3.7</v>
      </c>
    </row>
    <row r="181" spans="1:13" x14ac:dyDescent="0.25">
      <c r="A181" s="2" t="s">
        <v>251</v>
      </c>
      <c r="B181" s="11">
        <v>45532</v>
      </c>
      <c r="C181" s="2" t="s">
        <v>6</v>
      </c>
      <c r="D181" s="2" t="s">
        <v>5</v>
      </c>
      <c r="E181" s="2" t="s">
        <v>23</v>
      </c>
      <c r="F181" s="2" t="s">
        <v>51</v>
      </c>
      <c r="G181" s="2">
        <v>3</v>
      </c>
      <c r="H181" s="3">
        <v>474.79</v>
      </c>
      <c r="I181" s="3">
        <v>1424.37</v>
      </c>
      <c r="J181" s="3">
        <v>844.3</v>
      </c>
      <c r="K181" s="3">
        <v>580.07000000000005</v>
      </c>
      <c r="L181" s="2" t="s">
        <v>37</v>
      </c>
      <c r="M181" s="2">
        <v>3.5</v>
      </c>
    </row>
    <row r="182" spans="1:13" x14ac:dyDescent="0.25">
      <c r="A182" s="2" t="s">
        <v>252</v>
      </c>
      <c r="B182" s="11">
        <v>45505</v>
      </c>
      <c r="C182" s="2" t="s">
        <v>6</v>
      </c>
      <c r="D182" s="2" t="s">
        <v>160</v>
      </c>
      <c r="E182" s="2" t="s">
        <v>23</v>
      </c>
      <c r="F182" s="2" t="s">
        <v>43</v>
      </c>
      <c r="G182" s="2">
        <v>41</v>
      </c>
      <c r="H182" s="3">
        <v>277.33</v>
      </c>
      <c r="I182" s="3">
        <v>11370.53</v>
      </c>
      <c r="J182" s="3">
        <v>6372.92</v>
      </c>
      <c r="K182" s="3">
        <v>4997.6099999999997</v>
      </c>
      <c r="L182" s="2" t="s">
        <v>37</v>
      </c>
      <c r="M182" s="2">
        <v>3.6</v>
      </c>
    </row>
    <row r="183" spans="1:13" x14ac:dyDescent="0.25">
      <c r="A183" s="2" t="s">
        <v>253</v>
      </c>
      <c r="B183" s="11">
        <v>45526</v>
      </c>
      <c r="C183" s="2" t="s">
        <v>10</v>
      </c>
      <c r="D183" s="2" t="s">
        <v>9</v>
      </c>
      <c r="E183" s="2" t="s">
        <v>26</v>
      </c>
      <c r="F183" s="2" t="s">
        <v>45</v>
      </c>
      <c r="G183" s="2">
        <v>11</v>
      </c>
      <c r="H183" s="3">
        <v>225.41</v>
      </c>
      <c r="I183" s="3">
        <v>2479.5100000000002</v>
      </c>
      <c r="J183" s="3">
        <v>1291.98</v>
      </c>
      <c r="K183" s="3">
        <v>1187.53</v>
      </c>
      <c r="L183" s="2" t="s">
        <v>37</v>
      </c>
      <c r="M183" s="2">
        <v>3.4</v>
      </c>
    </row>
    <row r="184" spans="1:13" x14ac:dyDescent="0.25">
      <c r="A184" s="2" t="s">
        <v>254</v>
      </c>
      <c r="B184" s="11">
        <v>45528</v>
      </c>
      <c r="C184" s="2" t="s">
        <v>67</v>
      </c>
      <c r="D184" s="2" t="s">
        <v>255</v>
      </c>
      <c r="E184" s="2" t="s">
        <v>24</v>
      </c>
      <c r="F184" s="2" t="s">
        <v>45</v>
      </c>
      <c r="G184" s="2">
        <v>26</v>
      </c>
      <c r="H184" s="3">
        <v>74.08</v>
      </c>
      <c r="I184" s="3">
        <v>1926.08</v>
      </c>
      <c r="J184" s="3">
        <v>948.85</v>
      </c>
      <c r="K184" s="3">
        <v>977.23</v>
      </c>
      <c r="L184" s="2" t="s">
        <v>37</v>
      </c>
      <c r="M184" s="2">
        <v>4.0999999999999996</v>
      </c>
    </row>
    <row r="185" spans="1:13" x14ac:dyDescent="0.25">
      <c r="A185" s="2" t="s">
        <v>256</v>
      </c>
      <c r="B185" s="11">
        <v>45508</v>
      </c>
      <c r="C185" s="2" t="s">
        <v>14</v>
      </c>
      <c r="D185" s="2" t="s">
        <v>85</v>
      </c>
      <c r="E185" s="2" t="s">
        <v>26</v>
      </c>
      <c r="F185" s="2" t="s">
        <v>43</v>
      </c>
      <c r="G185" s="2">
        <v>16</v>
      </c>
      <c r="H185" s="3">
        <v>79.03</v>
      </c>
      <c r="I185" s="3">
        <v>1264.48</v>
      </c>
      <c r="J185" s="3">
        <v>521.79</v>
      </c>
      <c r="K185" s="3">
        <v>742.69</v>
      </c>
      <c r="L185" s="2" t="s">
        <v>37</v>
      </c>
      <c r="M185" s="2">
        <v>4.9000000000000004</v>
      </c>
    </row>
    <row r="186" spans="1:13" x14ac:dyDescent="0.25">
      <c r="A186" s="2" t="s">
        <v>257</v>
      </c>
      <c r="B186" s="11">
        <v>45526</v>
      </c>
      <c r="C186" s="2" t="s">
        <v>17</v>
      </c>
      <c r="D186" s="2" t="s">
        <v>59</v>
      </c>
      <c r="E186" s="2" t="s">
        <v>26</v>
      </c>
      <c r="F186" s="2" t="s">
        <v>43</v>
      </c>
      <c r="G186" s="2">
        <v>37</v>
      </c>
      <c r="H186" s="3">
        <v>363.35</v>
      </c>
      <c r="I186" s="3">
        <v>13443.95</v>
      </c>
      <c r="J186" s="3">
        <v>6015.61</v>
      </c>
      <c r="K186" s="3">
        <v>7428.34</v>
      </c>
      <c r="L186" s="2" t="s">
        <v>37</v>
      </c>
      <c r="M186" s="2">
        <v>3.3</v>
      </c>
    </row>
    <row r="187" spans="1:13" x14ac:dyDescent="0.25">
      <c r="A187" s="2" t="s">
        <v>258</v>
      </c>
      <c r="B187" s="11">
        <v>45522</v>
      </c>
      <c r="C187" s="2" t="s">
        <v>14</v>
      </c>
      <c r="D187" s="2" t="s">
        <v>85</v>
      </c>
      <c r="E187" s="2" t="s">
        <v>23</v>
      </c>
      <c r="F187" s="2" t="s">
        <v>45</v>
      </c>
      <c r="G187" s="2">
        <v>2</v>
      </c>
      <c r="H187" s="3">
        <v>54.12</v>
      </c>
      <c r="I187" s="3">
        <v>108.24</v>
      </c>
      <c r="J187" s="3">
        <v>53.94</v>
      </c>
      <c r="K187" s="3">
        <v>54.3</v>
      </c>
      <c r="L187" s="2" t="s">
        <v>37</v>
      </c>
      <c r="M187" s="2">
        <v>3.9</v>
      </c>
    </row>
    <row r="188" spans="1:13" x14ac:dyDescent="0.25">
      <c r="A188" s="2" t="s">
        <v>259</v>
      </c>
      <c r="B188" s="11">
        <v>45529</v>
      </c>
      <c r="C188" s="2" t="s">
        <v>6</v>
      </c>
      <c r="D188" s="2" t="s">
        <v>5</v>
      </c>
      <c r="E188" s="2" t="s">
        <v>25</v>
      </c>
      <c r="F188" s="2" t="s">
        <v>36</v>
      </c>
      <c r="G188" s="2">
        <v>19</v>
      </c>
      <c r="H188" s="3">
        <v>252.5</v>
      </c>
      <c r="I188" s="3">
        <v>4797.5</v>
      </c>
      <c r="J188" s="3">
        <v>2977.26</v>
      </c>
      <c r="K188" s="3">
        <v>1820.24</v>
      </c>
      <c r="L188" s="2" t="s">
        <v>37</v>
      </c>
      <c r="M188" s="2">
        <v>4.3</v>
      </c>
    </row>
    <row r="189" spans="1:13" x14ac:dyDescent="0.25">
      <c r="A189" s="2" t="s">
        <v>260</v>
      </c>
      <c r="B189" s="11">
        <v>45513</v>
      </c>
      <c r="C189" s="2" t="s">
        <v>10</v>
      </c>
      <c r="D189" s="2" t="s">
        <v>115</v>
      </c>
      <c r="E189" s="2" t="s">
        <v>24</v>
      </c>
      <c r="F189" s="2" t="s">
        <v>40</v>
      </c>
      <c r="G189" s="2">
        <v>9</v>
      </c>
      <c r="H189" s="3">
        <v>442.4</v>
      </c>
      <c r="I189" s="3">
        <v>3981.6</v>
      </c>
      <c r="J189" s="3">
        <v>2316.8000000000002</v>
      </c>
      <c r="K189" s="3">
        <v>1664.8</v>
      </c>
      <c r="L189" s="2" t="s">
        <v>37</v>
      </c>
      <c r="M189" s="2">
        <v>4.5</v>
      </c>
    </row>
    <row r="190" spans="1:13" x14ac:dyDescent="0.25">
      <c r="A190" s="2" t="s">
        <v>261</v>
      </c>
      <c r="B190" s="11">
        <v>45529</v>
      </c>
      <c r="C190" s="2" t="s">
        <v>12</v>
      </c>
      <c r="D190" s="2" t="s">
        <v>73</v>
      </c>
      <c r="E190" s="2" t="s">
        <v>26</v>
      </c>
      <c r="F190" s="2" t="s">
        <v>36</v>
      </c>
      <c r="G190" s="2">
        <v>36</v>
      </c>
      <c r="H190" s="3">
        <v>151.41</v>
      </c>
      <c r="I190" s="3">
        <v>5450.76</v>
      </c>
      <c r="J190" s="3">
        <v>2706.78</v>
      </c>
      <c r="K190" s="3">
        <v>2743.98</v>
      </c>
      <c r="L190" s="2" t="s">
        <v>37</v>
      </c>
      <c r="M190" s="2">
        <v>3.9</v>
      </c>
    </row>
    <row r="191" spans="1:13" x14ac:dyDescent="0.25">
      <c r="A191" s="2" t="s">
        <v>262</v>
      </c>
      <c r="B191" s="11">
        <v>45525</v>
      </c>
      <c r="C191" s="2" t="s">
        <v>10</v>
      </c>
      <c r="D191" s="2" t="s">
        <v>15</v>
      </c>
      <c r="E191" s="2" t="s">
        <v>24</v>
      </c>
      <c r="F191" s="2" t="s">
        <v>45</v>
      </c>
      <c r="G191" s="2">
        <v>7</v>
      </c>
      <c r="H191" s="3">
        <v>203.01</v>
      </c>
      <c r="I191" s="3">
        <v>1421.07</v>
      </c>
      <c r="J191" s="3">
        <v>850.83</v>
      </c>
      <c r="K191" s="3">
        <v>570.24</v>
      </c>
      <c r="L191" s="2" t="s">
        <v>37</v>
      </c>
      <c r="M191" s="2">
        <v>3.7</v>
      </c>
    </row>
    <row r="192" spans="1:13" x14ac:dyDescent="0.25">
      <c r="A192" s="2" t="s">
        <v>263</v>
      </c>
      <c r="B192" s="11">
        <v>45515</v>
      </c>
      <c r="C192" s="2" t="s">
        <v>21</v>
      </c>
      <c r="D192" s="2" t="s">
        <v>158</v>
      </c>
      <c r="E192" s="2" t="s">
        <v>25</v>
      </c>
      <c r="F192" s="2" t="s">
        <v>51</v>
      </c>
      <c r="G192" s="2">
        <v>3</v>
      </c>
      <c r="H192" s="3">
        <v>32.200000000000003</v>
      </c>
      <c r="I192" s="3">
        <v>96.6</v>
      </c>
      <c r="J192" s="3">
        <v>41.95</v>
      </c>
      <c r="K192" s="3">
        <v>54.65</v>
      </c>
      <c r="L192" s="2" t="s">
        <v>37</v>
      </c>
      <c r="M192" s="2">
        <v>3.7</v>
      </c>
    </row>
    <row r="193" spans="1:13" x14ac:dyDescent="0.25">
      <c r="A193" s="2" t="s">
        <v>264</v>
      </c>
      <c r="B193" s="11">
        <v>45508</v>
      </c>
      <c r="C193" s="2" t="s">
        <v>17</v>
      </c>
      <c r="D193" s="2" t="s">
        <v>59</v>
      </c>
      <c r="E193" s="2" t="s">
        <v>24</v>
      </c>
      <c r="F193" s="2" t="s">
        <v>51</v>
      </c>
      <c r="G193" s="2">
        <v>40</v>
      </c>
      <c r="H193" s="3">
        <v>166.08</v>
      </c>
      <c r="I193" s="3">
        <v>6643.2</v>
      </c>
      <c r="J193" s="3">
        <v>3309.9</v>
      </c>
      <c r="K193" s="3">
        <v>3333.3</v>
      </c>
      <c r="L193" s="2" t="s">
        <v>37</v>
      </c>
      <c r="M193" s="2">
        <v>4.2</v>
      </c>
    </row>
    <row r="194" spans="1:13" x14ac:dyDescent="0.25">
      <c r="A194" s="2" t="s">
        <v>265</v>
      </c>
      <c r="B194" s="11">
        <v>45514</v>
      </c>
      <c r="C194" s="2" t="s">
        <v>19</v>
      </c>
      <c r="D194" s="2" t="s">
        <v>65</v>
      </c>
      <c r="E194" s="2" t="s">
        <v>22</v>
      </c>
      <c r="F194" s="2" t="s">
        <v>43</v>
      </c>
      <c r="G194" s="2">
        <v>20</v>
      </c>
      <c r="H194" s="3">
        <v>242.7</v>
      </c>
      <c r="I194" s="3">
        <v>4854</v>
      </c>
      <c r="J194" s="3">
        <v>1961.79</v>
      </c>
      <c r="K194" s="3">
        <v>2892.21</v>
      </c>
      <c r="L194" s="2" t="s">
        <v>37</v>
      </c>
      <c r="M194" s="2">
        <v>3.7</v>
      </c>
    </row>
    <row r="195" spans="1:13" x14ac:dyDescent="0.25">
      <c r="A195" s="2" t="s">
        <v>266</v>
      </c>
      <c r="B195" s="11">
        <v>45518</v>
      </c>
      <c r="C195" s="2" t="s">
        <v>6</v>
      </c>
      <c r="D195" s="2" t="s">
        <v>61</v>
      </c>
      <c r="E195" s="2" t="s">
        <v>26</v>
      </c>
      <c r="F195" s="2" t="s">
        <v>51</v>
      </c>
      <c r="G195" s="2">
        <v>31</v>
      </c>
      <c r="H195" s="3">
        <v>140.11000000000001</v>
      </c>
      <c r="I195" s="3">
        <v>4343.41</v>
      </c>
      <c r="J195" s="3">
        <v>2449.2399999999998</v>
      </c>
      <c r="K195" s="3">
        <v>1894.17</v>
      </c>
      <c r="L195" s="2" t="s">
        <v>37</v>
      </c>
      <c r="M195" s="2">
        <v>4.9000000000000004</v>
      </c>
    </row>
    <row r="196" spans="1:13" x14ac:dyDescent="0.25">
      <c r="A196" s="2" t="s">
        <v>267</v>
      </c>
      <c r="B196" s="11">
        <v>45510</v>
      </c>
      <c r="C196" s="2" t="s">
        <v>6</v>
      </c>
      <c r="D196" s="2" t="s">
        <v>61</v>
      </c>
      <c r="E196" s="2" t="s">
        <v>25</v>
      </c>
      <c r="F196" s="2" t="s">
        <v>45</v>
      </c>
      <c r="G196" s="2">
        <v>31</v>
      </c>
      <c r="H196" s="3">
        <v>93.55</v>
      </c>
      <c r="I196" s="3">
        <v>2900.05</v>
      </c>
      <c r="J196" s="3">
        <v>1616.07</v>
      </c>
      <c r="K196" s="3">
        <v>1283.98</v>
      </c>
      <c r="L196" s="2" t="s">
        <v>37</v>
      </c>
      <c r="M196" s="2">
        <v>4.2</v>
      </c>
    </row>
    <row r="197" spans="1:13" x14ac:dyDescent="0.25">
      <c r="A197" s="2" t="s">
        <v>268</v>
      </c>
      <c r="B197" s="11">
        <v>45519</v>
      </c>
      <c r="C197" s="2" t="s">
        <v>12</v>
      </c>
      <c r="D197" s="2" t="s">
        <v>11</v>
      </c>
      <c r="E197" s="2" t="s">
        <v>24</v>
      </c>
      <c r="F197" s="2" t="s">
        <v>43</v>
      </c>
      <c r="G197" s="2">
        <v>37</v>
      </c>
      <c r="H197" s="3">
        <v>474.62</v>
      </c>
      <c r="I197" s="3">
        <v>17560.939999999999</v>
      </c>
      <c r="J197" s="3">
        <v>7506.84</v>
      </c>
      <c r="K197" s="3">
        <v>10054.1</v>
      </c>
      <c r="L197" s="2" t="s">
        <v>37</v>
      </c>
      <c r="M197" s="2">
        <v>3</v>
      </c>
    </row>
    <row r="198" spans="1:13" x14ac:dyDescent="0.25">
      <c r="A198" s="2" t="s">
        <v>269</v>
      </c>
      <c r="B198" s="11">
        <v>45505</v>
      </c>
      <c r="C198" s="2" t="s">
        <v>12</v>
      </c>
      <c r="D198" s="2" t="s">
        <v>97</v>
      </c>
      <c r="E198" s="2" t="s">
        <v>22</v>
      </c>
      <c r="F198" s="2" t="s">
        <v>45</v>
      </c>
      <c r="G198" s="2">
        <v>33</v>
      </c>
      <c r="H198" s="3">
        <v>389.74</v>
      </c>
      <c r="I198" s="3">
        <v>12861.42</v>
      </c>
      <c r="J198" s="3">
        <v>8104.37</v>
      </c>
      <c r="K198" s="3">
        <v>4757.05</v>
      </c>
      <c r="L198" s="2" t="s">
        <v>37</v>
      </c>
      <c r="M198" s="2">
        <v>4.7</v>
      </c>
    </row>
    <row r="199" spans="1:13" x14ac:dyDescent="0.25">
      <c r="A199" s="2" t="s">
        <v>270</v>
      </c>
      <c r="B199" s="11">
        <v>45528</v>
      </c>
      <c r="C199" s="2" t="s">
        <v>67</v>
      </c>
      <c r="D199" s="2" t="s">
        <v>80</v>
      </c>
      <c r="E199" s="2" t="s">
        <v>26</v>
      </c>
      <c r="F199" s="2" t="s">
        <v>36</v>
      </c>
      <c r="G199" s="2">
        <v>34</v>
      </c>
      <c r="H199" s="3">
        <v>194.64</v>
      </c>
      <c r="I199" s="3">
        <v>6617.76</v>
      </c>
      <c r="J199" s="3">
        <v>4229.88</v>
      </c>
      <c r="K199" s="3">
        <v>2387.88</v>
      </c>
      <c r="L199" s="2" t="s">
        <v>37</v>
      </c>
      <c r="M199" s="2">
        <v>3.9</v>
      </c>
    </row>
    <row r="200" spans="1:13" x14ac:dyDescent="0.25">
      <c r="A200" s="2" t="s">
        <v>271</v>
      </c>
      <c r="B200" s="11">
        <v>45528</v>
      </c>
      <c r="C200" s="2" t="s">
        <v>14</v>
      </c>
      <c r="D200" s="2" t="s">
        <v>117</v>
      </c>
      <c r="E200" s="2" t="s">
        <v>23</v>
      </c>
      <c r="F200" s="2" t="s">
        <v>36</v>
      </c>
      <c r="G200" s="2">
        <v>31</v>
      </c>
      <c r="H200" s="3">
        <v>104.21</v>
      </c>
      <c r="I200" s="3">
        <v>3230.51</v>
      </c>
      <c r="J200" s="3">
        <v>1491.3</v>
      </c>
      <c r="K200" s="3">
        <v>1739.21</v>
      </c>
      <c r="L200" s="2" t="s">
        <v>37</v>
      </c>
      <c r="M200" s="2">
        <v>4.0999999999999996</v>
      </c>
    </row>
    <row r="201" spans="1:13" x14ac:dyDescent="0.25">
      <c r="A201" s="2" t="s">
        <v>272</v>
      </c>
      <c r="B201" s="11">
        <v>45513</v>
      </c>
      <c r="C201" s="2" t="s">
        <v>12</v>
      </c>
      <c r="D201" s="2" t="s">
        <v>97</v>
      </c>
      <c r="E201" s="2" t="s">
        <v>24</v>
      </c>
      <c r="F201" s="2" t="s">
        <v>36</v>
      </c>
      <c r="G201" s="2">
        <v>21</v>
      </c>
      <c r="H201" s="3">
        <v>245.1</v>
      </c>
      <c r="I201" s="3">
        <v>5147.1000000000004</v>
      </c>
      <c r="J201" s="3">
        <v>2780.06</v>
      </c>
      <c r="K201" s="3">
        <v>2367.04</v>
      </c>
      <c r="L201" s="2" t="s">
        <v>37</v>
      </c>
      <c r="M201" s="2">
        <v>4.9000000000000004</v>
      </c>
    </row>
    <row r="202" spans="1:13" x14ac:dyDescent="0.25">
      <c r="A202" s="2" t="s">
        <v>273</v>
      </c>
      <c r="B202" s="11">
        <v>45552</v>
      </c>
      <c r="C202" s="2" t="s">
        <v>21</v>
      </c>
      <c r="D202" s="2" t="s">
        <v>129</v>
      </c>
      <c r="E202" s="2" t="s">
        <v>24</v>
      </c>
      <c r="F202" s="2" t="s">
        <v>40</v>
      </c>
      <c r="G202" s="2">
        <v>23</v>
      </c>
      <c r="H202" s="3">
        <v>477.76</v>
      </c>
      <c r="I202" s="3">
        <v>10988.48</v>
      </c>
      <c r="J202" s="3">
        <v>6605.77</v>
      </c>
      <c r="K202" s="3">
        <v>4382.71</v>
      </c>
      <c r="L202" s="2" t="s">
        <v>37</v>
      </c>
      <c r="M202" s="2">
        <v>3.6</v>
      </c>
    </row>
    <row r="203" spans="1:13" x14ac:dyDescent="0.25">
      <c r="A203" s="2" t="s">
        <v>274</v>
      </c>
      <c r="B203" s="11">
        <v>45560</v>
      </c>
      <c r="C203" s="2" t="s">
        <v>19</v>
      </c>
      <c r="D203" s="2" t="s">
        <v>49</v>
      </c>
      <c r="E203" s="2" t="s">
        <v>26</v>
      </c>
      <c r="F203" s="2" t="s">
        <v>36</v>
      </c>
      <c r="G203" s="2">
        <v>48</v>
      </c>
      <c r="H203" s="3">
        <v>244.75</v>
      </c>
      <c r="I203" s="3">
        <v>11748</v>
      </c>
      <c r="J203" s="3">
        <v>5292.67</v>
      </c>
      <c r="K203" s="3">
        <v>6455.33</v>
      </c>
      <c r="L203" s="2" t="s">
        <v>37</v>
      </c>
      <c r="M203" s="2">
        <v>4.0999999999999996</v>
      </c>
    </row>
    <row r="204" spans="1:13" x14ac:dyDescent="0.25">
      <c r="A204" s="2" t="s">
        <v>275</v>
      </c>
      <c r="B204" s="11">
        <v>45541</v>
      </c>
      <c r="C204" s="2" t="s">
        <v>12</v>
      </c>
      <c r="D204" s="2" t="s">
        <v>71</v>
      </c>
      <c r="E204" s="2" t="s">
        <v>22</v>
      </c>
      <c r="F204" s="2" t="s">
        <v>40</v>
      </c>
      <c r="G204" s="2">
        <v>4</v>
      </c>
      <c r="H204" s="3">
        <v>338.22</v>
      </c>
      <c r="I204" s="3">
        <v>1352.88</v>
      </c>
      <c r="J204" s="3">
        <v>720.76</v>
      </c>
      <c r="K204" s="3">
        <v>632.12</v>
      </c>
      <c r="L204" s="2" t="s">
        <v>37</v>
      </c>
      <c r="M204" s="2">
        <v>4.3</v>
      </c>
    </row>
    <row r="205" spans="1:13" x14ac:dyDescent="0.25">
      <c r="A205" s="2" t="s">
        <v>276</v>
      </c>
      <c r="B205" s="11">
        <v>45552</v>
      </c>
      <c r="C205" s="2" t="s">
        <v>19</v>
      </c>
      <c r="D205" s="2" t="s">
        <v>39</v>
      </c>
      <c r="E205" s="2" t="s">
        <v>23</v>
      </c>
      <c r="F205" s="2" t="s">
        <v>43</v>
      </c>
      <c r="G205" s="2">
        <v>44</v>
      </c>
      <c r="H205" s="3">
        <v>387.68</v>
      </c>
      <c r="I205" s="3">
        <v>17057.919999999998</v>
      </c>
      <c r="J205" s="3">
        <v>6845.26</v>
      </c>
      <c r="K205" s="3">
        <v>10212.66</v>
      </c>
      <c r="L205" s="2" t="s">
        <v>37</v>
      </c>
      <c r="M205" s="2">
        <v>4.0999999999999996</v>
      </c>
    </row>
    <row r="206" spans="1:13" x14ac:dyDescent="0.25">
      <c r="A206" s="2" t="s">
        <v>277</v>
      </c>
      <c r="B206" s="11">
        <v>45539</v>
      </c>
      <c r="C206" s="2" t="s">
        <v>19</v>
      </c>
      <c r="D206" s="2" t="s">
        <v>87</v>
      </c>
      <c r="E206" s="2" t="s">
        <v>22</v>
      </c>
      <c r="F206" s="2" t="s">
        <v>40</v>
      </c>
      <c r="G206" s="2">
        <v>42</v>
      </c>
      <c r="H206" s="3">
        <v>107.73</v>
      </c>
      <c r="I206" s="3">
        <v>4524.66</v>
      </c>
      <c r="J206" s="3">
        <v>2900.21</v>
      </c>
      <c r="K206" s="3">
        <v>1624.45</v>
      </c>
      <c r="L206" s="2" t="s">
        <v>37</v>
      </c>
      <c r="M206" s="2">
        <v>3.6</v>
      </c>
    </row>
    <row r="207" spans="1:13" x14ac:dyDescent="0.25">
      <c r="A207" s="2" t="s">
        <v>278</v>
      </c>
      <c r="B207" s="11">
        <v>45563</v>
      </c>
      <c r="C207" s="2" t="s">
        <v>12</v>
      </c>
      <c r="D207" s="2" t="s">
        <v>42</v>
      </c>
      <c r="E207" s="2" t="s">
        <v>23</v>
      </c>
      <c r="F207" s="2" t="s">
        <v>43</v>
      </c>
      <c r="G207" s="2">
        <v>48</v>
      </c>
      <c r="H207" s="3">
        <v>364.33</v>
      </c>
      <c r="I207" s="3">
        <v>17487.84</v>
      </c>
      <c r="J207" s="3">
        <v>11090.22</v>
      </c>
      <c r="K207" s="3">
        <v>6397.62</v>
      </c>
      <c r="L207" s="2" t="s">
        <v>47</v>
      </c>
      <c r="M207" s="2">
        <v>4.8</v>
      </c>
    </row>
    <row r="208" spans="1:13" x14ac:dyDescent="0.25">
      <c r="A208" s="2" t="s">
        <v>279</v>
      </c>
      <c r="B208" s="11">
        <v>45556</v>
      </c>
      <c r="C208" s="2" t="s">
        <v>17</v>
      </c>
      <c r="D208" s="2" t="s">
        <v>53</v>
      </c>
      <c r="E208" s="2" t="s">
        <v>24</v>
      </c>
      <c r="F208" s="2" t="s">
        <v>40</v>
      </c>
      <c r="G208" s="2">
        <v>26</v>
      </c>
      <c r="H208" s="3">
        <v>396.1</v>
      </c>
      <c r="I208" s="3">
        <v>10298.6</v>
      </c>
      <c r="J208" s="3">
        <v>4599.13</v>
      </c>
      <c r="K208" s="3">
        <v>5699.47</v>
      </c>
      <c r="L208" s="2" t="s">
        <v>37</v>
      </c>
      <c r="M208" s="2">
        <v>4.5</v>
      </c>
    </row>
    <row r="209" spans="1:13" x14ac:dyDescent="0.25">
      <c r="A209" s="2" t="s">
        <v>280</v>
      </c>
      <c r="B209" s="11">
        <v>45545</v>
      </c>
      <c r="C209" s="2" t="s">
        <v>10</v>
      </c>
      <c r="D209" s="2" t="s">
        <v>76</v>
      </c>
      <c r="E209" s="2" t="s">
        <v>23</v>
      </c>
      <c r="F209" s="2" t="s">
        <v>51</v>
      </c>
      <c r="G209" s="2">
        <v>19</v>
      </c>
      <c r="H209" s="3">
        <v>232.63</v>
      </c>
      <c r="I209" s="3">
        <v>4419.97</v>
      </c>
      <c r="J209" s="3">
        <v>2476.63</v>
      </c>
      <c r="K209" s="3">
        <v>1943.34</v>
      </c>
      <c r="L209" s="2" t="s">
        <v>37</v>
      </c>
      <c r="M209" s="2">
        <v>4</v>
      </c>
    </row>
    <row r="210" spans="1:13" x14ac:dyDescent="0.25">
      <c r="A210" s="2" t="s">
        <v>281</v>
      </c>
      <c r="B210" s="11">
        <v>45562</v>
      </c>
      <c r="C210" s="2" t="s">
        <v>12</v>
      </c>
      <c r="D210" s="2" t="s">
        <v>11</v>
      </c>
      <c r="E210" s="2" t="s">
        <v>23</v>
      </c>
      <c r="F210" s="2" t="s">
        <v>40</v>
      </c>
      <c r="G210" s="2">
        <v>22</v>
      </c>
      <c r="H210" s="3">
        <v>89.62</v>
      </c>
      <c r="I210" s="3">
        <v>1971.64</v>
      </c>
      <c r="J210" s="3">
        <v>1014.86</v>
      </c>
      <c r="K210" s="3">
        <v>956.78</v>
      </c>
      <c r="L210" s="2" t="s">
        <v>37</v>
      </c>
      <c r="M210" s="2">
        <v>3.5</v>
      </c>
    </row>
    <row r="211" spans="1:13" x14ac:dyDescent="0.25">
      <c r="A211" s="2" t="s">
        <v>282</v>
      </c>
      <c r="B211" s="11">
        <v>45556</v>
      </c>
      <c r="C211" s="2" t="s">
        <v>14</v>
      </c>
      <c r="D211" s="2" t="s">
        <v>117</v>
      </c>
      <c r="E211" s="2" t="s">
        <v>25</v>
      </c>
      <c r="F211" s="2" t="s">
        <v>43</v>
      </c>
      <c r="G211" s="2">
        <v>44</v>
      </c>
      <c r="H211" s="3">
        <v>381.07</v>
      </c>
      <c r="I211" s="3">
        <v>16767.080000000002</v>
      </c>
      <c r="J211" s="3">
        <v>7442.47</v>
      </c>
      <c r="K211" s="3">
        <v>9324.61</v>
      </c>
      <c r="L211" s="2" t="s">
        <v>37</v>
      </c>
      <c r="M211" s="2">
        <v>4.7</v>
      </c>
    </row>
    <row r="212" spans="1:13" x14ac:dyDescent="0.25">
      <c r="A212" s="2" t="s">
        <v>283</v>
      </c>
      <c r="B212" s="11">
        <v>45552</v>
      </c>
      <c r="C212" s="2" t="s">
        <v>10</v>
      </c>
      <c r="D212" s="2" t="s">
        <v>115</v>
      </c>
      <c r="E212" s="2" t="s">
        <v>23</v>
      </c>
      <c r="F212" s="2" t="s">
        <v>40</v>
      </c>
      <c r="G212" s="2">
        <v>43</v>
      </c>
      <c r="H212" s="3">
        <v>56.74</v>
      </c>
      <c r="I212" s="3">
        <v>2439.8200000000002</v>
      </c>
      <c r="J212" s="3">
        <v>1574.71</v>
      </c>
      <c r="K212" s="3">
        <v>865.11</v>
      </c>
      <c r="L212" s="2" t="s">
        <v>37</v>
      </c>
      <c r="M212" s="2">
        <v>4</v>
      </c>
    </row>
    <row r="213" spans="1:13" x14ac:dyDescent="0.25">
      <c r="A213" s="2" t="s">
        <v>284</v>
      </c>
      <c r="B213" s="11">
        <v>45555</v>
      </c>
      <c r="C213" s="2" t="s">
        <v>12</v>
      </c>
      <c r="D213" s="2" t="s">
        <v>97</v>
      </c>
      <c r="E213" s="2" t="s">
        <v>26</v>
      </c>
      <c r="F213" s="2" t="s">
        <v>40</v>
      </c>
      <c r="G213" s="2">
        <v>49</v>
      </c>
      <c r="H213" s="3">
        <v>140.83000000000001</v>
      </c>
      <c r="I213" s="3">
        <v>6900.67</v>
      </c>
      <c r="J213" s="3">
        <v>3328.93</v>
      </c>
      <c r="K213" s="3">
        <v>3571.74</v>
      </c>
      <c r="L213" s="2" t="s">
        <v>37</v>
      </c>
      <c r="M213" s="2">
        <v>4.2</v>
      </c>
    </row>
    <row r="214" spans="1:13" x14ac:dyDescent="0.25">
      <c r="A214" s="2" t="s">
        <v>285</v>
      </c>
      <c r="B214" s="11">
        <v>45542</v>
      </c>
      <c r="C214" s="2" t="s">
        <v>67</v>
      </c>
      <c r="D214" s="2" t="s">
        <v>110</v>
      </c>
      <c r="E214" s="2" t="s">
        <v>26</v>
      </c>
      <c r="F214" s="2" t="s">
        <v>36</v>
      </c>
      <c r="G214" s="2">
        <v>4</v>
      </c>
      <c r="H214" s="3">
        <v>337.22</v>
      </c>
      <c r="I214" s="3">
        <v>1348.88</v>
      </c>
      <c r="J214" s="3">
        <v>696.49</v>
      </c>
      <c r="K214" s="3">
        <v>652.39</v>
      </c>
      <c r="L214" s="2" t="s">
        <v>37</v>
      </c>
      <c r="M214" s="2">
        <v>3.3</v>
      </c>
    </row>
    <row r="215" spans="1:13" x14ac:dyDescent="0.25">
      <c r="A215" s="2" t="s">
        <v>286</v>
      </c>
      <c r="B215" s="11">
        <v>45540</v>
      </c>
      <c r="C215" s="2" t="s">
        <v>14</v>
      </c>
      <c r="D215" s="2" t="s">
        <v>186</v>
      </c>
      <c r="E215" s="2" t="s">
        <v>25</v>
      </c>
      <c r="F215" s="2" t="s">
        <v>51</v>
      </c>
      <c r="G215" s="2">
        <v>40</v>
      </c>
      <c r="H215" s="3">
        <v>118.22</v>
      </c>
      <c r="I215" s="3">
        <v>4728.8</v>
      </c>
      <c r="J215" s="3">
        <v>3023.31</v>
      </c>
      <c r="K215" s="3">
        <v>1705.49</v>
      </c>
      <c r="L215" s="2" t="s">
        <v>37</v>
      </c>
      <c r="M215" s="2">
        <v>4</v>
      </c>
    </row>
    <row r="216" spans="1:13" x14ac:dyDescent="0.25">
      <c r="A216" s="2" t="s">
        <v>287</v>
      </c>
      <c r="B216" s="11">
        <v>45547</v>
      </c>
      <c r="C216" s="2" t="s">
        <v>19</v>
      </c>
      <c r="D216" s="2" t="s">
        <v>65</v>
      </c>
      <c r="E216" s="2" t="s">
        <v>26</v>
      </c>
      <c r="F216" s="2" t="s">
        <v>40</v>
      </c>
      <c r="G216" s="2">
        <v>43</v>
      </c>
      <c r="H216" s="3">
        <v>414.55</v>
      </c>
      <c r="I216" s="3">
        <v>17825.650000000001</v>
      </c>
      <c r="J216" s="3">
        <v>10525.42</v>
      </c>
      <c r="K216" s="3">
        <v>7300.23</v>
      </c>
      <c r="L216" s="2" t="s">
        <v>37</v>
      </c>
      <c r="M216" s="2">
        <v>4.4000000000000004</v>
      </c>
    </row>
    <row r="217" spans="1:13" x14ac:dyDescent="0.25">
      <c r="A217" s="2" t="s">
        <v>288</v>
      </c>
      <c r="B217" s="11">
        <v>45560</v>
      </c>
      <c r="C217" s="2" t="s">
        <v>67</v>
      </c>
      <c r="D217" s="2" t="s">
        <v>89</v>
      </c>
      <c r="E217" s="2" t="s">
        <v>23</v>
      </c>
      <c r="F217" s="2" t="s">
        <v>51</v>
      </c>
      <c r="G217" s="2">
        <v>37</v>
      </c>
      <c r="H217" s="3">
        <v>64.98</v>
      </c>
      <c r="I217" s="3">
        <v>2404.2600000000002</v>
      </c>
      <c r="J217" s="3">
        <v>1459.85</v>
      </c>
      <c r="K217" s="3">
        <v>944.41</v>
      </c>
      <c r="L217" s="2" t="s">
        <v>37</v>
      </c>
      <c r="M217" s="2">
        <v>4.8</v>
      </c>
    </row>
    <row r="218" spans="1:13" x14ac:dyDescent="0.25">
      <c r="A218" s="2" t="s">
        <v>289</v>
      </c>
      <c r="B218" s="11">
        <v>45541</v>
      </c>
      <c r="C218" s="2" t="s">
        <v>17</v>
      </c>
      <c r="D218" s="2" t="s">
        <v>59</v>
      </c>
      <c r="E218" s="2" t="s">
        <v>25</v>
      </c>
      <c r="F218" s="2" t="s">
        <v>40</v>
      </c>
      <c r="G218" s="2">
        <v>34</v>
      </c>
      <c r="H218" s="3">
        <v>226.5</v>
      </c>
      <c r="I218" s="3">
        <v>7701</v>
      </c>
      <c r="J218" s="3">
        <v>4390.1400000000003</v>
      </c>
      <c r="K218" s="3">
        <v>3310.86</v>
      </c>
      <c r="L218" s="2" t="s">
        <v>47</v>
      </c>
      <c r="M218" s="2">
        <v>4.4000000000000004</v>
      </c>
    </row>
    <row r="219" spans="1:13" x14ac:dyDescent="0.25">
      <c r="A219" s="2" t="s">
        <v>290</v>
      </c>
      <c r="B219" s="11">
        <v>45553</v>
      </c>
      <c r="C219" s="2" t="s">
        <v>19</v>
      </c>
      <c r="D219" s="2" t="s">
        <v>39</v>
      </c>
      <c r="E219" s="2" t="s">
        <v>26</v>
      </c>
      <c r="F219" s="2" t="s">
        <v>43</v>
      </c>
      <c r="G219" s="2">
        <v>30</v>
      </c>
      <c r="H219" s="3">
        <v>74.650000000000006</v>
      </c>
      <c r="I219" s="3">
        <v>2239.5</v>
      </c>
      <c r="J219" s="3">
        <v>1128.3900000000001</v>
      </c>
      <c r="K219" s="3">
        <v>1111.1099999999999</v>
      </c>
      <c r="L219" s="2" t="s">
        <v>37</v>
      </c>
      <c r="M219" s="2">
        <v>4.0999999999999996</v>
      </c>
    </row>
    <row r="220" spans="1:13" x14ac:dyDescent="0.25">
      <c r="A220" s="2" t="s">
        <v>291</v>
      </c>
      <c r="B220" s="11">
        <v>45560</v>
      </c>
      <c r="C220" s="2" t="s">
        <v>14</v>
      </c>
      <c r="D220" s="2" t="s">
        <v>13</v>
      </c>
      <c r="E220" s="2" t="s">
        <v>22</v>
      </c>
      <c r="F220" s="2" t="s">
        <v>40</v>
      </c>
      <c r="G220" s="2">
        <v>26</v>
      </c>
      <c r="H220" s="3">
        <v>134.68</v>
      </c>
      <c r="I220" s="3">
        <v>3501.68</v>
      </c>
      <c r="J220" s="3">
        <v>1403.31</v>
      </c>
      <c r="K220" s="3">
        <v>2098.37</v>
      </c>
      <c r="L220" s="2" t="s">
        <v>37</v>
      </c>
      <c r="M220" s="2">
        <v>3.4</v>
      </c>
    </row>
    <row r="221" spans="1:13" x14ac:dyDescent="0.25">
      <c r="A221" s="2" t="s">
        <v>292</v>
      </c>
      <c r="B221" s="11">
        <v>45552</v>
      </c>
      <c r="C221" s="2" t="s">
        <v>10</v>
      </c>
      <c r="D221" s="2" t="s">
        <v>202</v>
      </c>
      <c r="E221" s="2" t="s">
        <v>22</v>
      </c>
      <c r="F221" s="2" t="s">
        <v>36</v>
      </c>
      <c r="G221" s="2">
        <v>4</v>
      </c>
      <c r="H221" s="3">
        <v>467.95</v>
      </c>
      <c r="I221" s="3">
        <v>1871.8</v>
      </c>
      <c r="J221" s="3">
        <v>781.02</v>
      </c>
      <c r="K221" s="3">
        <v>1090.78</v>
      </c>
      <c r="L221" s="2" t="s">
        <v>37</v>
      </c>
      <c r="M221" s="2">
        <v>4.9000000000000004</v>
      </c>
    </row>
    <row r="222" spans="1:13" x14ac:dyDescent="0.25">
      <c r="A222" s="2" t="s">
        <v>293</v>
      </c>
      <c r="B222" s="11">
        <v>45536</v>
      </c>
      <c r="C222" s="2" t="s">
        <v>17</v>
      </c>
      <c r="D222" s="2" t="s">
        <v>104</v>
      </c>
      <c r="E222" s="2" t="s">
        <v>25</v>
      </c>
      <c r="F222" s="2" t="s">
        <v>43</v>
      </c>
      <c r="G222" s="2">
        <v>24</v>
      </c>
      <c r="H222" s="3">
        <v>496.5</v>
      </c>
      <c r="I222" s="3">
        <v>11916</v>
      </c>
      <c r="J222" s="3">
        <v>5905.81</v>
      </c>
      <c r="K222" s="3">
        <v>6010.19</v>
      </c>
      <c r="L222" s="2" t="s">
        <v>37</v>
      </c>
      <c r="M222" s="2">
        <v>4.7</v>
      </c>
    </row>
    <row r="223" spans="1:13" x14ac:dyDescent="0.25">
      <c r="A223" s="2" t="s">
        <v>294</v>
      </c>
      <c r="B223" s="11">
        <v>45555</v>
      </c>
      <c r="C223" s="2" t="s">
        <v>17</v>
      </c>
      <c r="D223" s="2" t="s">
        <v>59</v>
      </c>
      <c r="E223" s="2" t="s">
        <v>23</v>
      </c>
      <c r="F223" s="2" t="s">
        <v>40</v>
      </c>
      <c r="G223" s="2">
        <v>8</v>
      </c>
      <c r="H223" s="3">
        <v>97.45</v>
      </c>
      <c r="I223" s="3">
        <v>779.6</v>
      </c>
      <c r="J223" s="3">
        <v>416.55</v>
      </c>
      <c r="K223" s="3">
        <v>363.05</v>
      </c>
      <c r="L223" s="2" t="s">
        <v>37</v>
      </c>
      <c r="M223" s="2">
        <v>4.0999999999999996</v>
      </c>
    </row>
    <row r="224" spans="1:13" x14ac:dyDescent="0.25">
      <c r="A224" s="2" t="s">
        <v>295</v>
      </c>
      <c r="B224" s="11">
        <v>45546</v>
      </c>
      <c r="C224" s="2" t="s">
        <v>14</v>
      </c>
      <c r="D224" s="2" t="s">
        <v>85</v>
      </c>
      <c r="E224" s="2" t="s">
        <v>23</v>
      </c>
      <c r="F224" s="2" t="s">
        <v>45</v>
      </c>
      <c r="G224" s="2">
        <v>44</v>
      </c>
      <c r="H224" s="3">
        <v>362.36</v>
      </c>
      <c r="I224" s="3">
        <v>15943.84</v>
      </c>
      <c r="J224" s="3">
        <v>8068.09</v>
      </c>
      <c r="K224" s="3">
        <v>7875.75</v>
      </c>
      <c r="L224" s="2" t="s">
        <v>37</v>
      </c>
      <c r="M224" s="2">
        <v>3.8</v>
      </c>
    </row>
    <row r="225" spans="1:13" x14ac:dyDescent="0.25">
      <c r="A225" s="2" t="s">
        <v>296</v>
      </c>
      <c r="B225" s="11">
        <v>45551</v>
      </c>
      <c r="C225" s="2" t="s">
        <v>17</v>
      </c>
      <c r="D225" s="2" t="s">
        <v>59</v>
      </c>
      <c r="E225" s="2" t="s">
        <v>25</v>
      </c>
      <c r="F225" s="2" t="s">
        <v>51</v>
      </c>
      <c r="G225" s="2">
        <v>13</v>
      </c>
      <c r="H225" s="3">
        <v>469.33</v>
      </c>
      <c r="I225" s="3">
        <v>6101.29</v>
      </c>
      <c r="J225" s="3">
        <v>3546.41</v>
      </c>
      <c r="K225" s="3">
        <v>2554.88</v>
      </c>
      <c r="L225" s="2" t="s">
        <v>37</v>
      </c>
      <c r="M225" s="2">
        <v>3.2</v>
      </c>
    </row>
    <row r="226" spans="1:13" x14ac:dyDescent="0.25">
      <c r="A226" s="2" t="s">
        <v>297</v>
      </c>
      <c r="B226" s="11">
        <v>45536</v>
      </c>
      <c r="C226" s="2" t="s">
        <v>6</v>
      </c>
      <c r="D226" s="2" t="s">
        <v>7</v>
      </c>
      <c r="E226" s="2" t="s">
        <v>22</v>
      </c>
      <c r="F226" s="2" t="s">
        <v>45</v>
      </c>
      <c r="G226" s="2">
        <v>14</v>
      </c>
      <c r="H226" s="3">
        <v>42.97</v>
      </c>
      <c r="I226" s="3">
        <v>601.58000000000004</v>
      </c>
      <c r="J226" s="3">
        <v>329.96</v>
      </c>
      <c r="K226" s="3">
        <v>271.62</v>
      </c>
      <c r="L226" s="2" t="s">
        <v>37</v>
      </c>
      <c r="M226" s="2">
        <v>3.9</v>
      </c>
    </row>
    <row r="227" spans="1:13" x14ac:dyDescent="0.25">
      <c r="A227" s="2" t="s">
        <v>298</v>
      </c>
      <c r="B227" s="11">
        <v>45569</v>
      </c>
      <c r="C227" s="2" t="s">
        <v>21</v>
      </c>
      <c r="D227" s="2" t="s">
        <v>129</v>
      </c>
      <c r="E227" s="2" t="s">
        <v>23</v>
      </c>
      <c r="F227" s="2" t="s">
        <v>51</v>
      </c>
      <c r="G227" s="2">
        <v>15</v>
      </c>
      <c r="H227" s="3">
        <v>274.48</v>
      </c>
      <c r="I227" s="3">
        <v>4117.2</v>
      </c>
      <c r="J227" s="3">
        <v>2423.37</v>
      </c>
      <c r="K227" s="3">
        <v>1693.83</v>
      </c>
      <c r="L227" s="2" t="s">
        <v>77</v>
      </c>
      <c r="M227" s="2">
        <v>4.5999999999999996</v>
      </c>
    </row>
    <row r="228" spans="1:13" x14ac:dyDescent="0.25">
      <c r="A228" s="2" t="s">
        <v>299</v>
      </c>
      <c r="B228" s="11">
        <v>45577</v>
      </c>
      <c r="C228" s="2" t="s">
        <v>12</v>
      </c>
      <c r="D228" s="2" t="s">
        <v>42</v>
      </c>
      <c r="E228" s="2" t="s">
        <v>23</v>
      </c>
      <c r="F228" s="2" t="s">
        <v>36</v>
      </c>
      <c r="G228" s="2">
        <v>21</v>
      </c>
      <c r="H228" s="3">
        <v>292.95999999999998</v>
      </c>
      <c r="I228" s="3">
        <v>6152.16</v>
      </c>
      <c r="J228" s="3">
        <v>3649.06</v>
      </c>
      <c r="K228" s="3">
        <v>2503.1</v>
      </c>
      <c r="L228" s="2" t="s">
        <v>47</v>
      </c>
      <c r="M228" s="2">
        <v>4.5999999999999996</v>
      </c>
    </row>
    <row r="229" spans="1:13" x14ac:dyDescent="0.25">
      <c r="A229" s="2" t="s">
        <v>300</v>
      </c>
      <c r="B229" s="11">
        <v>45592</v>
      </c>
      <c r="C229" s="2" t="s">
        <v>12</v>
      </c>
      <c r="D229" s="2" t="s">
        <v>97</v>
      </c>
      <c r="E229" s="2" t="s">
        <v>23</v>
      </c>
      <c r="F229" s="2" t="s">
        <v>43</v>
      </c>
      <c r="G229" s="2">
        <v>20</v>
      </c>
      <c r="H229" s="3">
        <v>144.83000000000001</v>
      </c>
      <c r="I229" s="3">
        <v>2896.6</v>
      </c>
      <c r="J229" s="3">
        <v>1561.79</v>
      </c>
      <c r="K229" s="3">
        <v>1334.81</v>
      </c>
      <c r="L229" s="2" t="s">
        <v>37</v>
      </c>
      <c r="M229" s="2">
        <v>4.2</v>
      </c>
    </row>
    <row r="230" spans="1:13" x14ac:dyDescent="0.25">
      <c r="A230" s="2" t="s">
        <v>301</v>
      </c>
      <c r="B230" s="11">
        <v>45591</v>
      </c>
      <c r="C230" s="2" t="s">
        <v>6</v>
      </c>
      <c r="D230" s="2" t="s">
        <v>8</v>
      </c>
      <c r="E230" s="2" t="s">
        <v>25</v>
      </c>
      <c r="F230" s="2" t="s">
        <v>43</v>
      </c>
      <c r="G230" s="2">
        <v>42</v>
      </c>
      <c r="H230" s="3">
        <v>338.96</v>
      </c>
      <c r="I230" s="3">
        <v>14236.32</v>
      </c>
      <c r="J230" s="3">
        <v>8491.27</v>
      </c>
      <c r="K230" s="3">
        <v>5745.05</v>
      </c>
      <c r="L230" s="2" t="s">
        <v>37</v>
      </c>
      <c r="M230" s="2">
        <v>3.6</v>
      </c>
    </row>
    <row r="231" spans="1:13" x14ac:dyDescent="0.25">
      <c r="A231" s="2" t="s">
        <v>302</v>
      </c>
      <c r="B231" s="11">
        <v>45575</v>
      </c>
      <c r="C231" s="2" t="s">
        <v>21</v>
      </c>
      <c r="D231" s="2" t="s">
        <v>303</v>
      </c>
      <c r="E231" s="2" t="s">
        <v>23</v>
      </c>
      <c r="F231" s="2" t="s">
        <v>43</v>
      </c>
      <c r="G231" s="2">
        <v>49</v>
      </c>
      <c r="H231" s="3">
        <v>273.58</v>
      </c>
      <c r="I231" s="3">
        <v>13405.42</v>
      </c>
      <c r="J231" s="3">
        <v>6169.74</v>
      </c>
      <c r="K231" s="3">
        <v>7235.68</v>
      </c>
      <c r="L231" s="2" t="s">
        <v>47</v>
      </c>
      <c r="M231" s="2">
        <v>3.5</v>
      </c>
    </row>
    <row r="232" spans="1:13" x14ac:dyDescent="0.25">
      <c r="A232" s="2" t="s">
        <v>304</v>
      </c>
      <c r="B232" s="11">
        <v>45573</v>
      </c>
      <c r="C232" s="2" t="s">
        <v>21</v>
      </c>
      <c r="D232" s="2" t="s">
        <v>129</v>
      </c>
      <c r="E232" s="2" t="s">
        <v>24</v>
      </c>
      <c r="F232" s="2" t="s">
        <v>40</v>
      </c>
      <c r="G232" s="2">
        <v>36</v>
      </c>
      <c r="H232" s="3">
        <v>269.7</v>
      </c>
      <c r="I232" s="3">
        <v>9709.2000000000007</v>
      </c>
      <c r="J232" s="3">
        <v>4826.49</v>
      </c>
      <c r="K232" s="3">
        <v>4882.71</v>
      </c>
      <c r="L232" s="2" t="s">
        <v>47</v>
      </c>
      <c r="M232" s="2">
        <v>3.5</v>
      </c>
    </row>
    <row r="233" spans="1:13" x14ac:dyDescent="0.25">
      <c r="A233" s="2" t="s">
        <v>305</v>
      </c>
      <c r="B233" s="11">
        <v>45567</v>
      </c>
      <c r="C233" s="2" t="s">
        <v>67</v>
      </c>
      <c r="D233" s="2" t="s">
        <v>89</v>
      </c>
      <c r="E233" s="2" t="s">
        <v>26</v>
      </c>
      <c r="F233" s="2" t="s">
        <v>51</v>
      </c>
      <c r="G233" s="2">
        <v>35</v>
      </c>
      <c r="H233" s="3">
        <v>365.05</v>
      </c>
      <c r="I233" s="3">
        <v>12776.75</v>
      </c>
      <c r="J233" s="3">
        <v>5719.13</v>
      </c>
      <c r="K233" s="3">
        <v>7057.62</v>
      </c>
      <c r="L233" s="2" t="s">
        <v>37</v>
      </c>
      <c r="M233" s="2">
        <v>3.5</v>
      </c>
    </row>
    <row r="234" spans="1:13" x14ac:dyDescent="0.25">
      <c r="A234" s="2" t="s">
        <v>306</v>
      </c>
      <c r="B234" s="11">
        <v>45573</v>
      </c>
      <c r="C234" s="2" t="s">
        <v>10</v>
      </c>
      <c r="D234" s="2" t="s">
        <v>15</v>
      </c>
      <c r="E234" s="2" t="s">
        <v>23</v>
      </c>
      <c r="F234" s="2" t="s">
        <v>36</v>
      </c>
      <c r="G234" s="2">
        <v>49</v>
      </c>
      <c r="H234" s="3">
        <v>297.92</v>
      </c>
      <c r="I234" s="3">
        <v>14598.08</v>
      </c>
      <c r="J234" s="3">
        <v>8289.7000000000007</v>
      </c>
      <c r="K234" s="3">
        <v>6308.38</v>
      </c>
      <c r="L234" s="2" t="s">
        <v>37</v>
      </c>
      <c r="M234" s="2">
        <v>3.4</v>
      </c>
    </row>
    <row r="235" spans="1:13" x14ac:dyDescent="0.25">
      <c r="A235" s="2" t="s">
        <v>307</v>
      </c>
      <c r="B235" s="11">
        <v>45584</v>
      </c>
      <c r="C235" s="2" t="s">
        <v>6</v>
      </c>
      <c r="D235" s="2" t="s">
        <v>7</v>
      </c>
      <c r="E235" s="2" t="s">
        <v>25</v>
      </c>
      <c r="F235" s="2" t="s">
        <v>45</v>
      </c>
      <c r="G235" s="2">
        <v>13</v>
      </c>
      <c r="H235" s="3">
        <v>481.42</v>
      </c>
      <c r="I235" s="3">
        <v>6258.46</v>
      </c>
      <c r="J235" s="3">
        <v>2686.94</v>
      </c>
      <c r="K235" s="3">
        <v>3571.52</v>
      </c>
      <c r="L235" s="2" t="s">
        <v>37</v>
      </c>
      <c r="M235" s="2">
        <v>5</v>
      </c>
    </row>
    <row r="236" spans="1:13" x14ac:dyDescent="0.25">
      <c r="A236" s="2" t="s">
        <v>308</v>
      </c>
      <c r="B236" s="11">
        <v>45568</v>
      </c>
      <c r="C236" s="2" t="s">
        <v>12</v>
      </c>
      <c r="D236" s="2" t="s">
        <v>97</v>
      </c>
      <c r="E236" s="2" t="s">
        <v>26</v>
      </c>
      <c r="F236" s="2" t="s">
        <v>36</v>
      </c>
      <c r="G236" s="2">
        <v>16</v>
      </c>
      <c r="H236" s="3">
        <v>280.52</v>
      </c>
      <c r="I236" s="3">
        <v>4488.32</v>
      </c>
      <c r="J236" s="3">
        <v>2665.52</v>
      </c>
      <c r="K236" s="3">
        <v>1822.8</v>
      </c>
      <c r="L236" s="2" t="s">
        <v>37</v>
      </c>
      <c r="M236" s="2">
        <v>3.8</v>
      </c>
    </row>
    <row r="237" spans="1:13" x14ac:dyDescent="0.25">
      <c r="A237" s="2" t="s">
        <v>309</v>
      </c>
      <c r="B237" s="11">
        <v>45568</v>
      </c>
      <c r="C237" s="2" t="s">
        <v>67</v>
      </c>
      <c r="D237" s="2" t="s">
        <v>68</v>
      </c>
      <c r="E237" s="2" t="s">
        <v>24</v>
      </c>
      <c r="F237" s="2" t="s">
        <v>45</v>
      </c>
      <c r="G237" s="2">
        <v>32</v>
      </c>
      <c r="H237" s="3">
        <v>238.34</v>
      </c>
      <c r="I237" s="3">
        <v>7626.88</v>
      </c>
      <c r="J237" s="3">
        <v>4581.5</v>
      </c>
      <c r="K237" s="3">
        <v>3045.38</v>
      </c>
      <c r="L237" s="2" t="s">
        <v>37</v>
      </c>
      <c r="M237" s="2">
        <v>4.4000000000000004</v>
      </c>
    </row>
    <row r="238" spans="1:13" x14ac:dyDescent="0.25">
      <c r="A238" s="2" t="s">
        <v>310</v>
      </c>
      <c r="B238" s="11">
        <v>45589</v>
      </c>
      <c r="C238" s="2" t="s">
        <v>21</v>
      </c>
      <c r="D238" s="2" t="s">
        <v>20</v>
      </c>
      <c r="E238" s="2" t="s">
        <v>26</v>
      </c>
      <c r="F238" s="2" t="s">
        <v>51</v>
      </c>
      <c r="G238" s="2">
        <v>37</v>
      </c>
      <c r="H238" s="3">
        <v>433.4</v>
      </c>
      <c r="I238" s="3">
        <v>16035.8</v>
      </c>
      <c r="J238" s="3">
        <v>9385.9599999999991</v>
      </c>
      <c r="K238" s="3">
        <v>6649.84</v>
      </c>
      <c r="L238" s="2" t="s">
        <v>37</v>
      </c>
      <c r="M238" s="2">
        <v>3</v>
      </c>
    </row>
    <row r="239" spans="1:13" x14ac:dyDescent="0.25">
      <c r="A239" s="2" t="s">
        <v>311</v>
      </c>
      <c r="B239" s="11">
        <v>45581</v>
      </c>
      <c r="C239" s="2" t="s">
        <v>21</v>
      </c>
      <c r="D239" s="2" t="s">
        <v>106</v>
      </c>
      <c r="E239" s="2" t="s">
        <v>23</v>
      </c>
      <c r="F239" s="2" t="s">
        <v>43</v>
      </c>
      <c r="G239" s="2">
        <v>10</v>
      </c>
      <c r="H239" s="3">
        <v>106.13</v>
      </c>
      <c r="I239" s="3">
        <v>1061.3</v>
      </c>
      <c r="J239" s="3">
        <v>485.55</v>
      </c>
      <c r="K239" s="3">
        <v>575.75</v>
      </c>
      <c r="L239" s="2" t="s">
        <v>37</v>
      </c>
      <c r="M239" s="2">
        <v>4.0999999999999996</v>
      </c>
    </row>
    <row r="240" spans="1:13" x14ac:dyDescent="0.25">
      <c r="A240" s="2" t="s">
        <v>312</v>
      </c>
      <c r="B240" s="11">
        <v>45592</v>
      </c>
      <c r="C240" s="2" t="s">
        <v>67</v>
      </c>
      <c r="D240" s="2" t="s">
        <v>255</v>
      </c>
      <c r="E240" s="2" t="s">
        <v>25</v>
      </c>
      <c r="F240" s="2" t="s">
        <v>43</v>
      </c>
      <c r="G240" s="2">
        <v>49</v>
      </c>
      <c r="H240" s="3">
        <v>412.58</v>
      </c>
      <c r="I240" s="3">
        <v>20216.419999999998</v>
      </c>
      <c r="J240" s="3">
        <v>12971.4</v>
      </c>
      <c r="K240" s="3">
        <v>7245.02</v>
      </c>
      <c r="L240" s="2" t="s">
        <v>37</v>
      </c>
      <c r="M240" s="2">
        <v>4.3</v>
      </c>
    </row>
    <row r="241" spans="1:13" x14ac:dyDescent="0.25">
      <c r="A241" s="2" t="s">
        <v>313</v>
      </c>
      <c r="B241" s="11">
        <v>45568</v>
      </c>
      <c r="C241" s="2" t="s">
        <v>67</v>
      </c>
      <c r="D241" s="2" t="s">
        <v>110</v>
      </c>
      <c r="E241" s="2" t="s">
        <v>26</v>
      </c>
      <c r="F241" s="2" t="s">
        <v>40</v>
      </c>
      <c r="G241" s="2">
        <v>9</v>
      </c>
      <c r="H241" s="3">
        <v>362.95</v>
      </c>
      <c r="I241" s="3">
        <v>3266.55</v>
      </c>
      <c r="J241" s="3">
        <v>1705.4</v>
      </c>
      <c r="K241" s="3">
        <v>1561.15</v>
      </c>
      <c r="L241" s="2" t="s">
        <v>37</v>
      </c>
      <c r="M241" s="2">
        <v>4.8</v>
      </c>
    </row>
    <row r="242" spans="1:13" x14ac:dyDescent="0.25">
      <c r="A242" s="2" t="s">
        <v>314</v>
      </c>
      <c r="B242" s="11">
        <v>45590</v>
      </c>
      <c r="C242" s="2" t="s">
        <v>10</v>
      </c>
      <c r="D242" s="2" t="s">
        <v>9</v>
      </c>
      <c r="E242" s="2" t="s">
        <v>22</v>
      </c>
      <c r="F242" s="2" t="s">
        <v>45</v>
      </c>
      <c r="G242" s="2">
        <v>49</v>
      </c>
      <c r="H242" s="3">
        <v>13.13</v>
      </c>
      <c r="I242" s="3">
        <v>643.37</v>
      </c>
      <c r="J242" s="3">
        <v>279.45999999999998</v>
      </c>
      <c r="K242" s="3">
        <v>363.91</v>
      </c>
      <c r="L242" s="2" t="s">
        <v>37</v>
      </c>
      <c r="M242" s="2">
        <v>4.3</v>
      </c>
    </row>
    <row r="243" spans="1:13" x14ac:dyDescent="0.25">
      <c r="A243" s="2" t="s">
        <v>315</v>
      </c>
      <c r="B243" s="11">
        <v>45583</v>
      </c>
      <c r="C243" s="2" t="s">
        <v>19</v>
      </c>
      <c r="D243" s="2" t="s">
        <v>49</v>
      </c>
      <c r="E243" s="2" t="s">
        <v>25</v>
      </c>
      <c r="F243" s="2" t="s">
        <v>43</v>
      </c>
      <c r="G243" s="2">
        <v>4</v>
      </c>
      <c r="H243" s="3">
        <v>312.74</v>
      </c>
      <c r="I243" s="3">
        <v>1250.96</v>
      </c>
      <c r="J243" s="3">
        <v>708.9</v>
      </c>
      <c r="K243" s="3">
        <v>542.05999999999995</v>
      </c>
      <c r="L243" s="2" t="s">
        <v>37</v>
      </c>
      <c r="M243" s="2">
        <v>4.2</v>
      </c>
    </row>
    <row r="244" spans="1:13" x14ac:dyDescent="0.25">
      <c r="A244" s="2" t="s">
        <v>316</v>
      </c>
      <c r="B244" s="11">
        <v>45590</v>
      </c>
      <c r="C244" s="2" t="s">
        <v>21</v>
      </c>
      <c r="D244" s="2" t="s">
        <v>20</v>
      </c>
      <c r="E244" s="2" t="s">
        <v>22</v>
      </c>
      <c r="F244" s="2" t="s">
        <v>51</v>
      </c>
      <c r="G244" s="2">
        <v>2</v>
      </c>
      <c r="H244" s="3">
        <v>269.41000000000003</v>
      </c>
      <c r="I244" s="3">
        <v>538.82000000000005</v>
      </c>
      <c r="J244" s="3">
        <v>252.54</v>
      </c>
      <c r="K244" s="3">
        <v>286.27999999999997</v>
      </c>
      <c r="L244" s="2" t="s">
        <v>37</v>
      </c>
      <c r="M244" s="2">
        <v>5</v>
      </c>
    </row>
    <row r="245" spans="1:13" x14ac:dyDescent="0.25">
      <c r="A245" s="2" t="s">
        <v>317</v>
      </c>
      <c r="B245" s="11">
        <v>45570</v>
      </c>
      <c r="C245" s="2" t="s">
        <v>21</v>
      </c>
      <c r="D245" s="2" t="s">
        <v>303</v>
      </c>
      <c r="E245" s="2" t="s">
        <v>26</v>
      </c>
      <c r="F245" s="2" t="s">
        <v>51</v>
      </c>
      <c r="G245" s="2">
        <v>7</v>
      </c>
      <c r="H245" s="3">
        <v>459.84</v>
      </c>
      <c r="I245" s="3">
        <v>3218.88</v>
      </c>
      <c r="J245" s="3">
        <v>1709.54</v>
      </c>
      <c r="K245" s="3">
        <v>1509.34</v>
      </c>
      <c r="L245" s="2" t="s">
        <v>37</v>
      </c>
      <c r="M245" s="2">
        <v>3.5</v>
      </c>
    </row>
    <row r="246" spans="1:13" x14ac:dyDescent="0.25">
      <c r="A246" s="2" t="s">
        <v>318</v>
      </c>
      <c r="B246" s="11">
        <v>45570</v>
      </c>
      <c r="C246" s="2" t="s">
        <v>67</v>
      </c>
      <c r="D246" s="2" t="s">
        <v>255</v>
      </c>
      <c r="E246" s="2" t="s">
        <v>23</v>
      </c>
      <c r="F246" s="2" t="s">
        <v>45</v>
      </c>
      <c r="G246" s="2">
        <v>26</v>
      </c>
      <c r="H246" s="3">
        <v>48.72</v>
      </c>
      <c r="I246" s="3">
        <v>1266.72</v>
      </c>
      <c r="J246" s="3">
        <v>810.48</v>
      </c>
      <c r="K246" s="3">
        <v>456.24</v>
      </c>
      <c r="L246" s="2" t="s">
        <v>37</v>
      </c>
      <c r="M246" s="2">
        <v>3.9</v>
      </c>
    </row>
    <row r="247" spans="1:13" x14ac:dyDescent="0.25">
      <c r="A247" s="2" t="s">
        <v>319</v>
      </c>
      <c r="B247" s="11">
        <v>45587</v>
      </c>
      <c r="C247" s="2" t="s">
        <v>10</v>
      </c>
      <c r="D247" s="2" t="s">
        <v>9</v>
      </c>
      <c r="E247" s="2" t="s">
        <v>22</v>
      </c>
      <c r="F247" s="2" t="s">
        <v>45</v>
      </c>
      <c r="G247" s="2">
        <v>6</v>
      </c>
      <c r="H247" s="3">
        <v>208.59</v>
      </c>
      <c r="I247" s="3">
        <v>1251.54</v>
      </c>
      <c r="J247" s="3">
        <v>618.63</v>
      </c>
      <c r="K247" s="3">
        <v>632.91</v>
      </c>
      <c r="L247" s="2" t="s">
        <v>37</v>
      </c>
      <c r="M247" s="2">
        <v>4</v>
      </c>
    </row>
    <row r="248" spans="1:13" x14ac:dyDescent="0.25">
      <c r="A248" s="2" t="s">
        <v>320</v>
      </c>
      <c r="B248" s="11">
        <v>45581</v>
      </c>
      <c r="C248" s="2" t="s">
        <v>21</v>
      </c>
      <c r="D248" s="2" t="s">
        <v>106</v>
      </c>
      <c r="E248" s="2" t="s">
        <v>22</v>
      </c>
      <c r="F248" s="2" t="s">
        <v>45</v>
      </c>
      <c r="G248" s="2">
        <v>37</v>
      </c>
      <c r="H248" s="3">
        <v>488.89</v>
      </c>
      <c r="I248" s="3">
        <v>18088.93</v>
      </c>
      <c r="J248" s="3">
        <v>11639.5</v>
      </c>
      <c r="K248" s="3">
        <v>6449.43</v>
      </c>
      <c r="L248" s="2" t="s">
        <v>37</v>
      </c>
      <c r="M248" s="2">
        <v>4.8</v>
      </c>
    </row>
    <row r="249" spans="1:13" x14ac:dyDescent="0.25">
      <c r="A249" s="2" t="s">
        <v>321</v>
      </c>
      <c r="B249" s="11">
        <v>45583</v>
      </c>
      <c r="C249" s="2" t="s">
        <v>19</v>
      </c>
      <c r="D249" s="2" t="s">
        <v>49</v>
      </c>
      <c r="E249" s="2" t="s">
        <v>26</v>
      </c>
      <c r="F249" s="2" t="s">
        <v>51</v>
      </c>
      <c r="G249" s="2">
        <v>3</v>
      </c>
      <c r="H249" s="3">
        <v>462.84</v>
      </c>
      <c r="I249" s="3">
        <v>1388.52</v>
      </c>
      <c r="J249" s="3">
        <v>792.99</v>
      </c>
      <c r="K249" s="3">
        <v>595.53</v>
      </c>
      <c r="L249" s="2" t="s">
        <v>37</v>
      </c>
      <c r="M249" s="2">
        <v>3.6</v>
      </c>
    </row>
    <row r="250" spans="1:13" x14ac:dyDescent="0.25">
      <c r="A250" s="2" t="s">
        <v>322</v>
      </c>
      <c r="B250" s="11">
        <v>45571</v>
      </c>
      <c r="C250" s="2" t="s">
        <v>17</v>
      </c>
      <c r="D250" s="2" t="s">
        <v>59</v>
      </c>
      <c r="E250" s="2" t="s">
        <v>25</v>
      </c>
      <c r="F250" s="2" t="s">
        <v>40</v>
      </c>
      <c r="G250" s="2">
        <v>2</v>
      </c>
      <c r="H250" s="3">
        <v>481.12</v>
      </c>
      <c r="I250" s="3">
        <v>962.24</v>
      </c>
      <c r="J250" s="3">
        <v>526.11</v>
      </c>
      <c r="K250" s="3">
        <v>436.13</v>
      </c>
      <c r="L250" s="2" t="s">
        <v>37</v>
      </c>
      <c r="M250" s="2">
        <v>4.5</v>
      </c>
    </row>
    <row r="251" spans="1:13" x14ac:dyDescent="0.25">
      <c r="A251" s="2" t="s">
        <v>323</v>
      </c>
      <c r="B251" s="11">
        <v>45574</v>
      </c>
      <c r="C251" s="2" t="s">
        <v>12</v>
      </c>
      <c r="D251" s="2" t="s">
        <v>42</v>
      </c>
      <c r="E251" s="2" t="s">
        <v>23</v>
      </c>
      <c r="F251" s="2" t="s">
        <v>40</v>
      </c>
      <c r="G251" s="2">
        <v>25</v>
      </c>
      <c r="H251" s="3">
        <v>341.75</v>
      </c>
      <c r="I251" s="3">
        <v>8543.75</v>
      </c>
      <c r="J251" s="3">
        <v>4572.1099999999997</v>
      </c>
      <c r="K251" s="3">
        <v>3971.64</v>
      </c>
      <c r="L251" s="2" t="s">
        <v>37</v>
      </c>
      <c r="M251" s="2">
        <v>3.8</v>
      </c>
    </row>
    <row r="252" spans="1:13" x14ac:dyDescent="0.25">
      <c r="A252" s="2" t="s">
        <v>324</v>
      </c>
      <c r="B252" s="11">
        <v>45613</v>
      </c>
      <c r="C252" s="2" t="s">
        <v>67</v>
      </c>
      <c r="D252" s="2" t="s">
        <v>89</v>
      </c>
      <c r="E252" s="2" t="s">
        <v>26</v>
      </c>
      <c r="F252" s="2" t="s">
        <v>51</v>
      </c>
      <c r="G252" s="2">
        <v>7</v>
      </c>
      <c r="H252" s="3">
        <v>224.17</v>
      </c>
      <c r="I252" s="3">
        <v>1569.19</v>
      </c>
      <c r="J252" s="3">
        <v>956.69</v>
      </c>
      <c r="K252" s="3">
        <v>612.5</v>
      </c>
      <c r="L252" s="2" t="s">
        <v>37</v>
      </c>
      <c r="M252" s="2">
        <v>3.7</v>
      </c>
    </row>
    <row r="253" spans="1:13" x14ac:dyDescent="0.25">
      <c r="A253" s="2" t="s">
        <v>325</v>
      </c>
      <c r="B253" s="11">
        <v>45624</v>
      </c>
      <c r="C253" s="2" t="s">
        <v>67</v>
      </c>
      <c r="D253" s="2" t="s">
        <v>89</v>
      </c>
      <c r="E253" s="2" t="s">
        <v>24</v>
      </c>
      <c r="F253" s="2" t="s">
        <v>51</v>
      </c>
      <c r="G253" s="2">
        <v>41</v>
      </c>
      <c r="H253" s="3">
        <v>143.93</v>
      </c>
      <c r="I253" s="3">
        <v>5901.13</v>
      </c>
      <c r="J253" s="3">
        <v>3824.8</v>
      </c>
      <c r="K253" s="3">
        <v>2076.33</v>
      </c>
      <c r="L253" s="2" t="s">
        <v>77</v>
      </c>
      <c r="M253" s="2">
        <v>4</v>
      </c>
    </row>
    <row r="254" spans="1:13" x14ac:dyDescent="0.25">
      <c r="A254" s="2" t="s">
        <v>326</v>
      </c>
      <c r="B254" s="11">
        <v>45616</v>
      </c>
      <c r="C254" s="2" t="s">
        <v>21</v>
      </c>
      <c r="D254" s="2" t="s">
        <v>303</v>
      </c>
      <c r="E254" s="2" t="s">
        <v>24</v>
      </c>
      <c r="F254" s="2" t="s">
        <v>45</v>
      </c>
      <c r="G254" s="2">
        <v>44</v>
      </c>
      <c r="H254" s="3">
        <v>297.08</v>
      </c>
      <c r="I254" s="3">
        <v>13071.52</v>
      </c>
      <c r="J254" s="3">
        <v>6470.64</v>
      </c>
      <c r="K254" s="3">
        <v>6600.88</v>
      </c>
      <c r="L254" s="2" t="s">
        <v>37</v>
      </c>
      <c r="M254" s="2">
        <v>4.5</v>
      </c>
    </row>
    <row r="255" spans="1:13" x14ac:dyDescent="0.25">
      <c r="A255" s="2" t="s">
        <v>327</v>
      </c>
      <c r="B255" s="11">
        <v>45610</v>
      </c>
      <c r="C255" s="2" t="s">
        <v>10</v>
      </c>
      <c r="D255" s="2" t="s">
        <v>76</v>
      </c>
      <c r="E255" s="2" t="s">
        <v>25</v>
      </c>
      <c r="F255" s="2" t="s">
        <v>36</v>
      </c>
      <c r="G255" s="2">
        <v>10</v>
      </c>
      <c r="H255" s="3">
        <v>196.2</v>
      </c>
      <c r="I255" s="3">
        <v>1962</v>
      </c>
      <c r="J255" s="3">
        <v>1169.3</v>
      </c>
      <c r="K255" s="3">
        <v>792.7</v>
      </c>
      <c r="L255" s="2" t="s">
        <v>37</v>
      </c>
      <c r="M255" s="2">
        <v>3.3</v>
      </c>
    </row>
    <row r="256" spans="1:13" x14ac:dyDescent="0.25">
      <c r="A256" s="2" t="s">
        <v>328</v>
      </c>
      <c r="B256" s="11">
        <v>45603</v>
      </c>
      <c r="C256" s="2" t="s">
        <v>10</v>
      </c>
      <c r="D256" s="2" t="s">
        <v>9</v>
      </c>
      <c r="E256" s="2" t="s">
        <v>22</v>
      </c>
      <c r="F256" s="2" t="s">
        <v>45</v>
      </c>
      <c r="G256" s="2">
        <v>20</v>
      </c>
      <c r="H256" s="3">
        <v>227.92</v>
      </c>
      <c r="I256" s="3">
        <v>4558.3999999999996</v>
      </c>
      <c r="J256" s="3">
        <v>2690.99</v>
      </c>
      <c r="K256" s="3">
        <v>1867.41</v>
      </c>
      <c r="L256" s="2" t="s">
        <v>37</v>
      </c>
      <c r="M256" s="2">
        <v>3.2</v>
      </c>
    </row>
    <row r="257" spans="1:13" x14ac:dyDescent="0.25">
      <c r="A257" s="2" t="s">
        <v>329</v>
      </c>
      <c r="B257" s="11">
        <v>45614</v>
      </c>
      <c r="C257" s="2" t="s">
        <v>21</v>
      </c>
      <c r="D257" s="2" t="s">
        <v>20</v>
      </c>
      <c r="E257" s="2" t="s">
        <v>24</v>
      </c>
      <c r="F257" s="2" t="s">
        <v>43</v>
      </c>
      <c r="G257" s="2">
        <v>2</v>
      </c>
      <c r="H257" s="3">
        <v>53.91</v>
      </c>
      <c r="I257" s="3">
        <v>107.82</v>
      </c>
      <c r="J257" s="3">
        <v>58.07</v>
      </c>
      <c r="K257" s="3">
        <v>49.75</v>
      </c>
      <c r="L257" s="2" t="s">
        <v>37</v>
      </c>
      <c r="M257" s="2">
        <v>4.2</v>
      </c>
    </row>
    <row r="258" spans="1:13" x14ac:dyDescent="0.25">
      <c r="A258" s="2" t="s">
        <v>330</v>
      </c>
      <c r="B258" s="11">
        <v>45621</v>
      </c>
      <c r="C258" s="2" t="s">
        <v>21</v>
      </c>
      <c r="D258" s="2" t="s">
        <v>129</v>
      </c>
      <c r="E258" s="2" t="s">
        <v>23</v>
      </c>
      <c r="F258" s="2" t="s">
        <v>51</v>
      </c>
      <c r="G258" s="2">
        <v>50</v>
      </c>
      <c r="H258" s="3">
        <v>51.5</v>
      </c>
      <c r="I258" s="3">
        <v>2575</v>
      </c>
      <c r="J258" s="3">
        <v>1610.11</v>
      </c>
      <c r="K258" s="3">
        <v>964.89</v>
      </c>
      <c r="L258" s="2" t="s">
        <v>37</v>
      </c>
      <c r="M258" s="2">
        <v>4.8</v>
      </c>
    </row>
    <row r="259" spans="1:13" x14ac:dyDescent="0.25">
      <c r="A259" s="2" t="s">
        <v>331</v>
      </c>
      <c r="B259" s="11">
        <v>45620</v>
      </c>
      <c r="C259" s="2" t="s">
        <v>21</v>
      </c>
      <c r="D259" s="2" t="s">
        <v>303</v>
      </c>
      <c r="E259" s="2" t="s">
        <v>23</v>
      </c>
      <c r="F259" s="2" t="s">
        <v>43</v>
      </c>
      <c r="G259" s="2">
        <v>9</v>
      </c>
      <c r="H259" s="3">
        <v>141.77000000000001</v>
      </c>
      <c r="I259" s="3">
        <v>1275.93</v>
      </c>
      <c r="J259" s="3">
        <v>595.99</v>
      </c>
      <c r="K259" s="3">
        <v>679.94</v>
      </c>
      <c r="L259" s="2" t="s">
        <v>37</v>
      </c>
      <c r="M259" s="2">
        <v>3.3</v>
      </c>
    </row>
    <row r="260" spans="1:13" x14ac:dyDescent="0.25">
      <c r="A260" s="2" t="s">
        <v>332</v>
      </c>
      <c r="B260" s="11">
        <v>45619</v>
      </c>
      <c r="C260" s="2" t="s">
        <v>14</v>
      </c>
      <c r="D260" s="2" t="s">
        <v>85</v>
      </c>
      <c r="E260" s="2" t="s">
        <v>25</v>
      </c>
      <c r="F260" s="2" t="s">
        <v>51</v>
      </c>
      <c r="G260" s="2">
        <v>5</v>
      </c>
      <c r="H260" s="3">
        <v>186.95</v>
      </c>
      <c r="I260" s="3">
        <v>934.75</v>
      </c>
      <c r="J260" s="3">
        <v>594.54999999999995</v>
      </c>
      <c r="K260" s="3">
        <v>340.2</v>
      </c>
      <c r="L260" s="2" t="s">
        <v>37</v>
      </c>
      <c r="M260" s="2">
        <v>4.4000000000000004</v>
      </c>
    </row>
    <row r="261" spans="1:13" x14ac:dyDescent="0.25">
      <c r="A261" s="2" t="s">
        <v>333</v>
      </c>
      <c r="B261" s="11">
        <v>45603</v>
      </c>
      <c r="C261" s="2" t="s">
        <v>19</v>
      </c>
      <c r="D261" s="2" t="s">
        <v>39</v>
      </c>
      <c r="E261" s="2" t="s">
        <v>26</v>
      </c>
      <c r="F261" s="2" t="s">
        <v>43</v>
      </c>
      <c r="G261" s="2">
        <v>9</v>
      </c>
      <c r="H261" s="3">
        <v>159.28</v>
      </c>
      <c r="I261" s="3">
        <v>1433.52</v>
      </c>
      <c r="J261" s="3">
        <v>913.45</v>
      </c>
      <c r="K261" s="3">
        <v>520.07000000000005</v>
      </c>
      <c r="L261" s="2" t="s">
        <v>37</v>
      </c>
      <c r="M261" s="2">
        <v>3.7</v>
      </c>
    </row>
    <row r="262" spans="1:13" x14ac:dyDescent="0.25">
      <c r="A262" s="2" t="s">
        <v>334</v>
      </c>
      <c r="B262" s="11">
        <v>45619</v>
      </c>
      <c r="C262" s="2" t="s">
        <v>67</v>
      </c>
      <c r="D262" s="2" t="s">
        <v>80</v>
      </c>
      <c r="E262" s="2" t="s">
        <v>26</v>
      </c>
      <c r="F262" s="2" t="s">
        <v>45</v>
      </c>
      <c r="G262" s="2">
        <v>22</v>
      </c>
      <c r="H262" s="3">
        <v>221</v>
      </c>
      <c r="I262" s="3">
        <v>4862</v>
      </c>
      <c r="J262" s="3">
        <v>2945.81</v>
      </c>
      <c r="K262" s="3">
        <v>1916.19</v>
      </c>
      <c r="L262" s="2" t="s">
        <v>37</v>
      </c>
      <c r="M262" s="2">
        <v>4.3</v>
      </c>
    </row>
    <row r="263" spans="1:13" x14ac:dyDescent="0.25">
      <c r="A263" s="2" t="s">
        <v>335</v>
      </c>
      <c r="B263" s="11">
        <v>45606</v>
      </c>
      <c r="C263" s="2" t="s">
        <v>12</v>
      </c>
      <c r="D263" s="2" t="s">
        <v>97</v>
      </c>
      <c r="E263" s="2" t="s">
        <v>25</v>
      </c>
      <c r="F263" s="2" t="s">
        <v>51</v>
      </c>
      <c r="G263" s="2">
        <v>21</v>
      </c>
      <c r="H263" s="3">
        <v>97.04</v>
      </c>
      <c r="I263" s="3">
        <v>2037.84</v>
      </c>
      <c r="J263" s="3">
        <v>1018.02</v>
      </c>
      <c r="K263" s="3">
        <v>1019.82</v>
      </c>
      <c r="L263" s="2" t="s">
        <v>37</v>
      </c>
      <c r="M263" s="2">
        <v>3.6</v>
      </c>
    </row>
    <row r="264" spans="1:13" x14ac:dyDescent="0.25">
      <c r="A264" s="2" t="s">
        <v>336</v>
      </c>
      <c r="B264" s="11">
        <v>45609</v>
      </c>
      <c r="C264" s="2" t="s">
        <v>67</v>
      </c>
      <c r="D264" s="2" t="s">
        <v>80</v>
      </c>
      <c r="E264" s="2" t="s">
        <v>26</v>
      </c>
      <c r="F264" s="2" t="s">
        <v>45</v>
      </c>
      <c r="G264" s="2">
        <v>18</v>
      </c>
      <c r="H264" s="3">
        <v>410.08</v>
      </c>
      <c r="I264" s="3">
        <v>7381.44</v>
      </c>
      <c r="J264" s="3">
        <v>3677.68</v>
      </c>
      <c r="K264" s="3">
        <v>3703.76</v>
      </c>
      <c r="L264" s="2" t="s">
        <v>37</v>
      </c>
      <c r="M264" s="2">
        <v>3.2</v>
      </c>
    </row>
    <row r="265" spans="1:13" x14ac:dyDescent="0.25">
      <c r="A265" s="2" t="s">
        <v>337</v>
      </c>
      <c r="B265" s="11">
        <v>45618</v>
      </c>
      <c r="C265" s="2" t="s">
        <v>17</v>
      </c>
      <c r="D265" s="2" t="s">
        <v>102</v>
      </c>
      <c r="E265" s="2" t="s">
        <v>25</v>
      </c>
      <c r="F265" s="2" t="s">
        <v>36</v>
      </c>
      <c r="G265" s="2">
        <v>2</v>
      </c>
      <c r="H265" s="3">
        <v>476.97</v>
      </c>
      <c r="I265" s="3">
        <v>953.94</v>
      </c>
      <c r="J265" s="3">
        <v>491.67</v>
      </c>
      <c r="K265" s="3">
        <v>462.27</v>
      </c>
      <c r="L265" s="2" t="s">
        <v>37</v>
      </c>
      <c r="M265" s="2">
        <v>4.4000000000000004</v>
      </c>
    </row>
    <row r="266" spans="1:13" x14ac:dyDescent="0.25">
      <c r="A266" s="2" t="s">
        <v>338</v>
      </c>
      <c r="B266" s="11">
        <v>45617</v>
      </c>
      <c r="C266" s="2" t="s">
        <v>10</v>
      </c>
      <c r="D266" s="2" t="s">
        <v>115</v>
      </c>
      <c r="E266" s="2" t="s">
        <v>23</v>
      </c>
      <c r="F266" s="2" t="s">
        <v>43</v>
      </c>
      <c r="G266" s="2">
        <v>44</v>
      </c>
      <c r="H266" s="3">
        <v>254.66</v>
      </c>
      <c r="I266" s="3">
        <v>11205.04</v>
      </c>
      <c r="J266" s="3">
        <v>6256.15</v>
      </c>
      <c r="K266" s="3">
        <v>4948.8900000000003</v>
      </c>
      <c r="L266" s="2" t="s">
        <v>37</v>
      </c>
      <c r="M266" s="2">
        <v>3.5</v>
      </c>
    </row>
    <row r="267" spans="1:13" x14ac:dyDescent="0.25">
      <c r="A267" s="2" t="s">
        <v>339</v>
      </c>
      <c r="B267" s="11">
        <v>45608</v>
      </c>
      <c r="C267" s="2" t="s">
        <v>10</v>
      </c>
      <c r="D267" s="2" t="s">
        <v>115</v>
      </c>
      <c r="E267" s="2" t="s">
        <v>25</v>
      </c>
      <c r="F267" s="2" t="s">
        <v>51</v>
      </c>
      <c r="G267" s="2">
        <v>39</v>
      </c>
      <c r="H267" s="3">
        <v>244.83</v>
      </c>
      <c r="I267" s="3">
        <v>9548.3700000000008</v>
      </c>
      <c r="J267" s="3">
        <v>4776.1099999999997</v>
      </c>
      <c r="K267" s="3">
        <v>4772.26</v>
      </c>
      <c r="L267" s="2" t="s">
        <v>37</v>
      </c>
      <c r="M267" s="2">
        <v>4</v>
      </c>
    </row>
    <row r="268" spans="1:13" x14ac:dyDescent="0.25">
      <c r="A268" s="2" t="s">
        <v>340</v>
      </c>
      <c r="B268" s="11">
        <v>45611</v>
      </c>
      <c r="C268" s="2" t="s">
        <v>67</v>
      </c>
      <c r="D268" s="2" t="s">
        <v>68</v>
      </c>
      <c r="E268" s="2" t="s">
        <v>24</v>
      </c>
      <c r="F268" s="2" t="s">
        <v>45</v>
      </c>
      <c r="G268" s="2">
        <v>39</v>
      </c>
      <c r="H268" s="3">
        <v>322.70999999999998</v>
      </c>
      <c r="I268" s="3">
        <v>12585.69</v>
      </c>
      <c r="J268" s="3">
        <v>5301.67</v>
      </c>
      <c r="K268" s="3">
        <v>7284.02</v>
      </c>
      <c r="L268" s="2" t="s">
        <v>37</v>
      </c>
      <c r="M268" s="2">
        <v>4.5</v>
      </c>
    </row>
    <row r="269" spans="1:13" x14ac:dyDescent="0.25">
      <c r="A269" s="2" t="s">
        <v>341</v>
      </c>
      <c r="B269" s="11">
        <v>45613</v>
      </c>
      <c r="C269" s="2" t="s">
        <v>6</v>
      </c>
      <c r="D269" s="2" t="s">
        <v>61</v>
      </c>
      <c r="E269" s="2" t="s">
        <v>25</v>
      </c>
      <c r="F269" s="2" t="s">
        <v>40</v>
      </c>
      <c r="G269" s="2">
        <v>42</v>
      </c>
      <c r="H269" s="3">
        <v>341.96</v>
      </c>
      <c r="I269" s="3">
        <v>14362.32</v>
      </c>
      <c r="J269" s="3">
        <v>7179.79</v>
      </c>
      <c r="K269" s="3">
        <v>7182.53</v>
      </c>
      <c r="L269" s="2" t="s">
        <v>37</v>
      </c>
      <c r="M269" s="2">
        <v>4.5</v>
      </c>
    </row>
    <row r="270" spans="1:13" x14ac:dyDescent="0.25">
      <c r="A270" s="2" t="s">
        <v>342</v>
      </c>
      <c r="B270" s="11">
        <v>45611</v>
      </c>
      <c r="C270" s="2" t="s">
        <v>14</v>
      </c>
      <c r="D270" s="2" t="s">
        <v>56</v>
      </c>
      <c r="E270" s="2" t="s">
        <v>23</v>
      </c>
      <c r="F270" s="2" t="s">
        <v>43</v>
      </c>
      <c r="G270" s="2">
        <v>33</v>
      </c>
      <c r="H270" s="3">
        <v>375.96</v>
      </c>
      <c r="I270" s="3">
        <v>12406.68</v>
      </c>
      <c r="J270" s="3">
        <v>6693.38</v>
      </c>
      <c r="K270" s="3">
        <v>5713.3</v>
      </c>
      <c r="L270" s="2" t="s">
        <v>37</v>
      </c>
      <c r="M270" s="2">
        <v>4.4000000000000004</v>
      </c>
    </row>
    <row r="271" spans="1:13" x14ac:dyDescent="0.25">
      <c r="A271" s="2" t="s">
        <v>343</v>
      </c>
      <c r="B271" s="11">
        <v>45600</v>
      </c>
      <c r="C271" s="2" t="s">
        <v>19</v>
      </c>
      <c r="D271" s="2" t="s">
        <v>65</v>
      </c>
      <c r="E271" s="2" t="s">
        <v>22</v>
      </c>
      <c r="F271" s="2" t="s">
        <v>36</v>
      </c>
      <c r="G271" s="2">
        <v>45</v>
      </c>
      <c r="H271" s="3">
        <v>255.23</v>
      </c>
      <c r="I271" s="3">
        <v>11485.35</v>
      </c>
      <c r="J271" s="3">
        <v>5584.66</v>
      </c>
      <c r="K271" s="3">
        <v>5900.69</v>
      </c>
      <c r="L271" s="2" t="s">
        <v>37</v>
      </c>
      <c r="M271" s="2">
        <v>3</v>
      </c>
    </row>
    <row r="272" spans="1:13" x14ac:dyDescent="0.25">
      <c r="A272" s="2" t="s">
        <v>344</v>
      </c>
      <c r="B272" s="11">
        <v>45604</v>
      </c>
      <c r="C272" s="2" t="s">
        <v>10</v>
      </c>
      <c r="D272" s="2" t="s">
        <v>9</v>
      </c>
      <c r="E272" s="2" t="s">
        <v>23</v>
      </c>
      <c r="F272" s="2" t="s">
        <v>51</v>
      </c>
      <c r="G272" s="2">
        <v>47</v>
      </c>
      <c r="H272" s="3">
        <v>79.42</v>
      </c>
      <c r="I272" s="3">
        <v>3732.74</v>
      </c>
      <c r="J272" s="3">
        <v>1784.15</v>
      </c>
      <c r="K272" s="3">
        <v>1948.59</v>
      </c>
      <c r="L272" s="2" t="s">
        <v>37</v>
      </c>
      <c r="M272" s="2">
        <v>3.9</v>
      </c>
    </row>
    <row r="273" spans="1:13" x14ac:dyDescent="0.25">
      <c r="A273" s="2" t="s">
        <v>345</v>
      </c>
      <c r="B273" s="11">
        <v>45604</v>
      </c>
      <c r="C273" s="2" t="s">
        <v>19</v>
      </c>
      <c r="D273" s="2" t="s">
        <v>39</v>
      </c>
      <c r="E273" s="2" t="s">
        <v>22</v>
      </c>
      <c r="F273" s="2" t="s">
        <v>40</v>
      </c>
      <c r="G273" s="2">
        <v>29</v>
      </c>
      <c r="H273" s="3">
        <v>363.78</v>
      </c>
      <c r="I273" s="3">
        <v>10549.62</v>
      </c>
      <c r="J273" s="3">
        <v>5413.13</v>
      </c>
      <c r="K273" s="3">
        <v>5136.49</v>
      </c>
      <c r="L273" s="2" t="s">
        <v>37</v>
      </c>
      <c r="M273" s="2">
        <v>3.1</v>
      </c>
    </row>
    <row r="274" spans="1:13" x14ac:dyDescent="0.25">
      <c r="A274" s="2" t="s">
        <v>346</v>
      </c>
      <c r="B274" s="11">
        <v>45599</v>
      </c>
      <c r="C274" s="2" t="s">
        <v>67</v>
      </c>
      <c r="D274" s="2" t="s">
        <v>89</v>
      </c>
      <c r="E274" s="2" t="s">
        <v>26</v>
      </c>
      <c r="F274" s="2" t="s">
        <v>45</v>
      </c>
      <c r="G274" s="2">
        <v>44</v>
      </c>
      <c r="H274" s="3">
        <v>402.02</v>
      </c>
      <c r="I274" s="3">
        <v>17688.88</v>
      </c>
      <c r="J274" s="3">
        <v>11187.87</v>
      </c>
      <c r="K274" s="3">
        <v>6501.01</v>
      </c>
      <c r="L274" s="2" t="s">
        <v>37</v>
      </c>
      <c r="M274" s="2">
        <v>4.5</v>
      </c>
    </row>
    <row r="275" spans="1:13" x14ac:dyDescent="0.25">
      <c r="A275" s="2" t="s">
        <v>347</v>
      </c>
      <c r="B275" s="11">
        <v>45607</v>
      </c>
      <c r="C275" s="2" t="s">
        <v>67</v>
      </c>
      <c r="D275" s="2" t="s">
        <v>68</v>
      </c>
      <c r="E275" s="2" t="s">
        <v>23</v>
      </c>
      <c r="F275" s="2" t="s">
        <v>45</v>
      </c>
      <c r="G275" s="2">
        <v>28</v>
      </c>
      <c r="H275" s="3">
        <v>479.65</v>
      </c>
      <c r="I275" s="3">
        <v>13430.2</v>
      </c>
      <c r="J275" s="3">
        <v>6150.55</v>
      </c>
      <c r="K275" s="3">
        <v>7279.65</v>
      </c>
      <c r="L275" s="2" t="s">
        <v>37</v>
      </c>
      <c r="M275" s="2">
        <v>3.8</v>
      </c>
    </row>
    <row r="276" spans="1:13" x14ac:dyDescent="0.25">
      <c r="A276" s="2" t="s">
        <v>348</v>
      </c>
      <c r="B276" s="11">
        <v>45597</v>
      </c>
      <c r="C276" s="2" t="s">
        <v>21</v>
      </c>
      <c r="D276" s="2" t="s">
        <v>129</v>
      </c>
      <c r="E276" s="2" t="s">
        <v>25</v>
      </c>
      <c r="F276" s="2" t="s">
        <v>43</v>
      </c>
      <c r="G276" s="2">
        <v>2</v>
      </c>
      <c r="H276" s="3">
        <v>371.32</v>
      </c>
      <c r="I276" s="3">
        <v>742.64</v>
      </c>
      <c r="J276" s="3">
        <v>461.01</v>
      </c>
      <c r="K276" s="3">
        <v>281.63</v>
      </c>
      <c r="L276" s="2" t="s">
        <v>37</v>
      </c>
      <c r="M276" s="2">
        <v>3.9</v>
      </c>
    </row>
    <row r="277" spans="1:13" x14ac:dyDescent="0.25">
      <c r="A277" s="2" t="s">
        <v>349</v>
      </c>
      <c r="B277" s="11">
        <v>45645</v>
      </c>
      <c r="C277" s="2" t="s">
        <v>12</v>
      </c>
      <c r="D277" s="2" t="s">
        <v>71</v>
      </c>
      <c r="E277" s="2" t="s">
        <v>22</v>
      </c>
      <c r="F277" s="2" t="s">
        <v>51</v>
      </c>
      <c r="G277" s="2">
        <v>18</v>
      </c>
      <c r="H277" s="3">
        <v>378.64</v>
      </c>
      <c r="I277" s="3">
        <v>6815.52</v>
      </c>
      <c r="J277" s="3">
        <v>4104.1899999999996</v>
      </c>
      <c r="K277" s="3">
        <v>2711.33</v>
      </c>
      <c r="L277" s="2" t="s">
        <v>37</v>
      </c>
      <c r="M277" s="2">
        <v>3.1</v>
      </c>
    </row>
    <row r="278" spans="1:13" x14ac:dyDescent="0.25">
      <c r="A278" s="2" t="s">
        <v>350</v>
      </c>
      <c r="B278" s="11">
        <v>45644</v>
      </c>
      <c r="C278" s="2" t="s">
        <v>67</v>
      </c>
      <c r="D278" s="2" t="s">
        <v>110</v>
      </c>
      <c r="E278" s="2" t="s">
        <v>24</v>
      </c>
      <c r="F278" s="2" t="s">
        <v>51</v>
      </c>
      <c r="G278" s="2">
        <v>30</v>
      </c>
      <c r="H278" s="3">
        <v>65.84</v>
      </c>
      <c r="I278" s="3">
        <v>1975.2</v>
      </c>
      <c r="J278" s="3">
        <v>1121.27</v>
      </c>
      <c r="K278" s="3">
        <v>853.93</v>
      </c>
      <c r="L278" s="2" t="s">
        <v>37</v>
      </c>
      <c r="M278" s="2">
        <v>4</v>
      </c>
    </row>
    <row r="279" spans="1:13" x14ac:dyDescent="0.25">
      <c r="A279" s="2" t="s">
        <v>351</v>
      </c>
      <c r="B279" s="11">
        <v>45634</v>
      </c>
      <c r="C279" s="2" t="s">
        <v>21</v>
      </c>
      <c r="D279" s="2" t="s">
        <v>158</v>
      </c>
      <c r="E279" s="2" t="s">
        <v>24</v>
      </c>
      <c r="F279" s="2" t="s">
        <v>51</v>
      </c>
      <c r="G279" s="2">
        <v>8</v>
      </c>
      <c r="H279" s="3">
        <v>180.48</v>
      </c>
      <c r="I279" s="3">
        <v>1443.84</v>
      </c>
      <c r="J279" s="3">
        <v>882.73</v>
      </c>
      <c r="K279" s="3">
        <v>561.11</v>
      </c>
      <c r="L279" s="2" t="s">
        <v>37</v>
      </c>
      <c r="M279" s="2">
        <v>4.2</v>
      </c>
    </row>
    <row r="280" spans="1:13" x14ac:dyDescent="0.25">
      <c r="A280" s="2" t="s">
        <v>352</v>
      </c>
      <c r="B280" s="11">
        <v>45645</v>
      </c>
      <c r="C280" s="2" t="s">
        <v>17</v>
      </c>
      <c r="D280" s="2" t="s">
        <v>59</v>
      </c>
      <c r="E280" s="2" t="s">
        <v>23</v>
      </c>
      <c r="F280" s="2" t="s">
        <v>51</v>
      </c>
      <c r="G280" s="2">
        <v>8</v>
      </c>
      <c r="H280" s="3">
        <v>126.9</v>
      </c>
      <c r="I280" s="3">
        <v>1015.2</v>
      </c>
      <c r="J280" s="3">
        <v>435.76</v>
      </c>
      <c r="K280" s="3">
        <v>579.44000000000005</v>
      </c>
      <c r="L280" s="2" t="s">
        <v>37</v>
      </c>
      <c r="M280" s="2">
        <v>3.7</v>
      </c>
    </row>
    <row r="281" spans="1:13" x14ac:dyDescent="0.25">
      <c r="A281" s="2" t="s">
        <v>353</v>
      </c>
      <c r="B281" s="11">
        <v>45634</v>
      </c>
      <c r="C281" s="2" t="s">
        <v>17</v>
      </c>
      <c r="D281" s="2" t="s">
        <v>102</v>
      </c>
      <c r="E281" s="2" t="s">
        <v>23</v>
      </c>
      <c r="F281" s="2" t="s">
        <v>51</v>
      </c>
      <c r="G281" s="2">
        <v>25</v>
      </c>
      <c r="H281" s="3">
        <v>217.29</v>
      </c>
      <c r="I281" s="3">
        <v>5432.25</v>
      </c>
      <c r="J281" s="3">
        <v>2833.83</v>
      </c>
      <c r="K281" s="3">
        <v>2598.42</v>
      </c>
      <c r="L281" s="2" t="s">
        <v>37</v>
      </c>
      <c r="M281" s="2">
        <v>4.0999999999999996</v>
      </c>
    </row>
    <row r="282" spans="1:13" x14ac:dyDescent="0.25">
      <c r="A282" s="2" t="s">
        <v>354</v>
      </c>
      <c r="B282" s="11">
        <v>45627</v>
      </c>
      <c r="C282" s="2" t="s">
        <v>14</v>
      </c>
      <c r="D282" s="2" t="s">
        <v>56</v>
      </c>
      <c r="E282" s="2" t="s">
        <v>24</v>
      </c>
      <c r="F282" s="2" t="s">
        <v>40</v>
      </c>
      <c r="G282" s="2">
        <v>12</v>
      </c>
      <c r="H282" s="3">
        <v>164.14</v>
      </c>
      <c r="I282" s="3">
        <v>1969.68</v>
      </c>
      <c r="J282" s="3">
        <v>1009.95</v>
      </c>
      <c r="K282" s="3">
        <v>959.73</v>
      </c>
      <c r="L282" s="2" t="s">
        <v>37</v>
      </c>
      <c r="M282" s="2">
        <v>3.1</v>
      </c>
    </row>
    <row r="283" spans="1:13" x14ac:dyDescent="0.25">
      <c r="A283" s="2" t="s">
        <v>355</v>
      </c>
      <c r="B283" s="11">
        <v>45629</v>
      </c>
      <c r="C283" s="2" t="s">
        <v>12</v>
      </c>
      <c r="D283" s="2" t="s">
        <v>97</v>
      </c>
      <c r="E283" s="2" t="s">
        <v>25</v>
      </c>
      <c r="F283" s="2" t="s">
        <v>43</v>
      </c>
      <c r="G283" s="2">
        <v>36</v>
      </c>
      <c r="H283" s="3">
        <v>257.66000000000003</v>
      </c>
      <c r="I283" s="3">
        <v>9275.76</v>
      </c>
      <c r="J283" s="3">
        <v>4858.1099999999997</v>
      </c>
      <c r="K283" s="3">
        <v>4417.6499999999996</v>
      </c>
      <c r="L283" s="2" t="s">
        <v>37</v>
      </c>
      <c r="M283" s="2">
        <v>4.4000000000000004</v>
      </c>
    </row>
    <row r="284" spans="1:13" x14ac:dyDescent="0.25">
      <c r="A284" s="2" t="s">
        <v>356</v>
      </c>
      <c r="B284" s="11">
        <v>45649</v>
      </c>
      <c r="C284" s="2" t="s">
        <v>10</v>
      </c>
      <c r="D284" s="2" t="s">
        <v>202</v>
      </c>
      <c r="E284" s="2" t="s">
        <v>23</v>
      </c>
      <c r="F284" s="2" t="s">
        <v>51</v>
      </c>
      <c r="G284" s="2">
        <v>2</v>
      </c>
      <c r="H284" s="3">
        <v>399.98</v>
      </c>
      <c r="I284" s="3">
        <v>799.96</v>
      </c>
      <c r="J284" s="3">
        <v>364.09</v>
      </c>
      <c r="K284" s="3">
        <v>435.87</v>
      </c>
      <c r="L284" s="2" t="s">
        <v>37</v>
      </c>
      <c r="M284" s="2">
        <v>3.1</v>
      </c>
    </row>
    <row r="285" spans="1:13" x14ac:dyDescent="0.25">
      <c r="A285" s="2" t="s">
        <v>357</v>
      </c>
      <c r="B285" s="11">
        <v>45647</v>
      </c>
      <c r="C285" s="2" t="s">
        <v>19</v>
      </c>
      <c r="D285" s="2" t="s">
        <v>65</v>
      </c>
      <c r="E285" s="2" t="s">
        <v>26</v>
      </c>
      <c r="F285" s="2" t="s">
        <v>40</v>
      </c>
      <c r="G285" s="2">
        <v>48</v>
      </c>
      <c r="H285" s="3">
        <v>388.55</v>
      </c>
      <c r="I285" s="3">
        <v>18650.400000000001</v>
      </c>
      <c r="J285" s="3">
        <v>9769.61</v>
      </c>
      <c r="K285" s="3">
        <v>8880.7900000000009</v>
      </c>
      <c r="L285" s="2" t="s">
        <v>37</v>
      </c>
      <c r="M285" s="2">
        <v>4</v>
      </c>
    </row>
    <row r="286" spans="1:13" x14ac:dyDescent="0.25">
      <c r="A286" s="2" t="s">
        <v>358</v>
      </c>
      <c r="B286" s="11">
        <v>45628</v>
      </c>
      <c r="C286" s="2" t="s">
        <v>67</v>
      </c>
      <c r="D286" s="2" t="s">
        <v>68</v>
      </c>
      <c r="E286" s="2" t="s">
        <v>25</v>
      </c>
      <c r="F286" s="2" t="s">
        <v>40</v>
      </c>
      <c r="G286" s="2">
        <v>49</v>
      </c>
      <c r="H286" s="3">
        <v>30.39</v>
      </c>
      <c r="I286" s="3">
        <v>1489.11</v>
      </c>
      <c r="J286" s="3">
        <v>863.3</v>
      </c>
      <c r="K286" s="3">
        <v>625.80999999999995</v>
      </c>
      <c r="L286" s="2" t="s">
        <v>37</v>
      </c>
      <c r="M286" s="2">
        <v>4.0999999999999996</v>
      </c>
    </row>
    <row r="287" spans="1:13" x14ac:dyDescent="0.25">
      <c r="A287" s="2" t="s">
        <v>359</v>
      </c>
      <c r="B287" s="11">
        <v>45634</v>
      </c>
      <c r="C287" s="2" t="s">
        <v>12</v>
      </c>
      <c r="D287" s="2" t="s">
        <v>73</v>
      </c>
      <c r="E287" s="2" t="s">
        <v>25</v>
      </c>
      <c r="F287" s="2" t="s">
        <v>40</v>
      </c>
      <c r="G287" s="2">
        <v>3</v>
      </c>
      <c r="H287" s="3">
        <v>230.37</v>
      </c>
      <c r="I287" s="3">
        <v>691.11</v>
      </c>
      <c r="J287" s="3">
        <v>336.67</v>
      </c>
      <c r="K287" s="3">
        <v>354.44</v>
      </c>
      <c r="L287" s="2" t="s">
        <v>37</v>
      </c>
      <c r="M287" s="2">
        <v>4.5999999999999996</v>
      </c>
    </row>
    <row r="288" spans="1:13" x14ac:dyDescent="0.25">
      <c r="A288" s="2" t="s">
        <v>360</v>
      </c>
      <c r="B288" s="11">
        <v>45629</v>
      </c>
      <c r="C288" s="2" t="s">
        <v>12</v>
      </c>
      <c r="D288" s="2" t="s">
        <v>71</v>
      </c>
      <c r="E288" s="2" t="s">
        <v>25</v>
      </c>
      <c r="F288" s="2" t="s">
        <v>45</v>
      </c>
      <c r="G288" s="2">
        <v>48</v>
      </c>
      <c r="H288" s="3">
        <v>298.08</v>
      </c>
      <c r="I288" s="3">
        <v>14307.84</v>
      </c>
      <c r="J288" s="3">
        <v>6977.33</v>
      </c>
      <c r="K288" s="3">
        <v>7330.51</v>
      </c>
      <c r="L288" s="2" t="s">
        <v>37</v>
      </c>
      <c r="M288" s="2">
        <v>4.4000000000000004</v>
      </c>
    </row>
    <row r="289" spans="1:13" x14ac:dyDescent="0.25">
      <c r="A289" s="2" t="s">
        <v>361</v>
      </c>
      <c r="B289" s="11">
        <v>45628</v>
      </c>
      <c r="C289" s="2" t="s">
        <v>12</v>
      </c>
      <c r="D289" s="2" t="s">
        <v>71</v>
      </c>
      <c r="E289" s="2" t="s">
        <v>23</v>
      </c>
      <c r="F289" s="2" t="s">
        <v>36</v>
      </c>
      <c r="G289" s="2">
        <v>4</v>
      </c>
      <c r="H289" s="3">
        <v>289.33999999999997</v>
      </c>
      <c r="I289" s="3">
        <v>1157.3599999999999</v>
      </c>
      <c r="J289" s="3">
        <v>616.95000000000005</v>
      </c>
      <c r="K289" s="3">
        <v>540.41</v>
      </c>
      <c r="L289" s="2" t="s">
        <v>77</v>
      </c>
      <c r="M289" s="2">
        <v>4.2</v>
      </c>
    </row>
    <row r="290" spans="1:13" x14ac:dyDescent="0.25">
      <c r="A290" s="2" t="s">
        <v>362</v>
      </c>
      <c r="B290" s="11">
        <v>45654</v>
      </c>
      <c r="C290" s="2" t="s">
        <v>14</v>
      </c>
      <c r="D290" s="2" t="s">
        <v>186</v>
      </c>
      <c r="E290" s="2" t="s">
        <v>22</v>
      </c>
      <c r="F290" s="2" t="s">
        <v>45</v>
      </c>
      <c r="G290" s="2">
        <v>37</v>
      </c>
      <c r="H290" s="3">
        <v>141</v>
      </c>
      <c r="I290" s="3">
        <v>5217</v>
      </c>
      <c r="J290" s="3">
        <v>3205.87</v>
      </c>
      <c r="K290" s="3">
        <v>2011.13</v>
      </c>
      <c r="L290" s="2" t="s">
        <v>77</v>
      </c>
      <c r="M290" s="2">
        <v>5</v>
      </c>
    </row>
    <row r="291" spans="1:13" x14ac:dyDescent="0.25">
      <c r="A291" s="2" t="s">
        <v>363</v>
      </c>
      <c r="B291" s="11">
        <v>45637</v>
      </c>
      <c r="C291" s="2" t="s">
        <v>21</v>
      </c>
      <c r="D291" s="2" t="s">
        <v>20</v>
      </c>
      <c r="E291" s="2" t="s">
        <v>23</v>
      </c>
      <c r="F291" s="2" t="s">
        <v>45</v>
      </c>
      <c r="G291" s="2">
        <v>18</v>
      </c>
      <c r="H291" s="3">
        <v>434.85</v>
      </c>
      <c r="I291" s="3">
        <v>7827.3</v>
      </c>
      <c r="J291" s="3">
        <v>3379.22</v>
      </c>
      <c r="K291" s="3">
        <v>4448.08</v>
      </c>
      <c r="L291" s="2" t="s">
        <v>37</v>
      </c>
      <c r="M291" s="2">
        <v>4.7</v>
      </c>
    </row>
    <row r="292" spans="1:13" x14ac:dyDescent="0.25">
      <c r="A292" s="2" t="s">
        <v>364</v>
      </c>
      <c r="B292" s="11">
        <v>45629</v>
      </c>
      <c r="C292" s="2" t="s">
        <v>12</v>
      </c>
      <c r="D292" s="2" t="s">
        <v>97</v>
      </c>
      <c r="E292" s="2" t="s">
        <v>25</v>
      </c>
      <c r="F292" s="2" t="s">
        <v>43</v>
      </c>
      <c r="G292" s="2">
        <v>32</v>
      </c>
      <c r="H292" s="3">
        <v>79.66</v>
      </c>
      <c r="I292" s="3">
        <v>2549.12</v>
      </c>
      <c r="J292" s="3">
        <v>1422.67</v>
      </c>
      <c r="K292" s="3">
        <v>1126.45</v>
      </c>
      <c r="L292" s="2" t="s">
        <v>37</v>
      </c>
      <c r="M292" s="2">
        <v>4.3</v>
      </c>
    </row>
    <row r="293" spans="1:13" x14ac:dyDescent="0.25">
      <c r="A293" s="2" t="s">
        <v>365</v>
      </c>
      <c r="B293" s="11">
        <v>45643</v>
      </c>
      <c r="C293" s="2" t="s">
        <v>10</v>
      </c>
      <c r="D293" s="2" t="s">
        <v>115</v>
      </c>
      <c r="E293" s="2" t="s">
        <v>25</v>
      </c>
      <c r="F293" s="2" t="s">
        <v>43</v>
      </c>
      <c r="G293" s="2">
        <v>33</v>
      </c>
      <c r="H293" s="3">
        <v>377.4</v>
      </c>
      <c r="I293" s="3">
        <v>12454.2</v>
      </c>
      <c r="J293" s="3">
        <v>7144.67</v>
      </c>
      <c r="K293" s="3">
        <v>5309.53</v>
      </c>
      <c r="L293" s="2" t="s">
        <v>37</v>
      </c>
      <c r="M293" s="2">
        <v>4.8</v>
      </c>
    </row>
    <row r="294" spans="1:13" x14ac:dyDescent="0.25">
      <c r="A294" s="2" t="s">
        <v>366</v>
      </c>
      <c r="B294" s="11">
        <v>45634</v>
      </c>
      <c r="C294" s="2" t="s">
        <v>6</v>
      </c>
      <c r="D294" s="2" t="s">
        <v>5</v>
      </c>
      <c r="E294" s="2" t="s">
        <v>22</v>
      </c>
      <c r="F294" s="2" t="s">
        <v>51</v>
      </c>
      <c r="G294" s="2">
        <v>47</v>
      </c>
      <c r="H294" s="3">
        <v>486.35</v>
      </c>
      <c r="I294" s="3">
        <v>22858.45</v>
      </c>
      <c r="J294" s="3">
        <v>12771.25</v>
      </c>
      <c r="K294" s="3">
        <v>10087.200000000001</v>
      </c>
      <c r="L294" s="2" t="s">
        <v>37</v>
      </c>
      <c r="M294" s="2">
        <v>4.4000000000000004</v>
      </c>
    </row>
    <row r="295" spans="1:13" x14ac:dyDescent="0.25">
      <c r="A295" s="2" t="s">
        <v>367</v>
      </c>
      <c r="B295" s="11">
        <v>45635</v>
      </c>
      <c r="C295" s="2" t="s">
        <v>21</v>
      </c>
      <c r="D295" s="2" t="s">
        <v>303</v>
      </c>
      <c r="E295" s="2" t="s">
        <v>26</v>
      </c>
      <c r="F295" s="2" t="s">
        <v>45</v>
      </c>
      <c r="G295" s="2">
        <v>32</v>
      </c>
      <c r="H295" s="3">
        <v>141.58000000000001</v>
      </c>
      <c r="I295" s="3">
        <v>4530.5600000000004</v>
      </c>
      <c r="J295" s="3">
        <v>2750.44</v>
      </c>
      <c r="K295" s="3">
        <v>1780.12</v>
      </c>
      <c r="L295" s="2" t="s">
        <v>37</v>
      </c>
      <c r="M295" s="2">
        <v>3.7</v>
      </c>
    </row>
    <row r="296" spans="1:13" x14ac:dyDescent="0.25">
      <c r="A296" s="2" t="s">
        <v>368</v>
      </c>
      <c r="B296" s="11">
        <v>45648</v>
      </c>
      <c r="C296" s="2" t="s">
        <v>19</v>
      </c>
      <c r="D296" s="2" t="s">
        <v>49</v>
      </c>
      <c r="E296" s="2" t="s">
        <v>25</v>
      </c>
      <c r="F296" s="2" t="s">
        <v>40</v>
      </c>
      <c r="G296" s="2">
        <v>44</v>
      </c>
      <c r="H296" s="3">
        <v>383.5</v>
      </c>
      <c r="I296" s="3">
        <v>16874</v>
      </c>
      <c r="J296" s="3">
        <v>6943.41</v>
      </c>
      <c r="K296" s="3">
        <v>9930.59</v>
      </c>
      <c r="L296" s="2" t="s">
        <v>37</v>
      </c>
      <c r="M296" s="2">
        <v>4.3</v>
      </c>
    </row>
    <row r="297" spans="1:13" x14ac:dyDescent="0.25">
      <c r="A297" s="2" t="s">
        <v>369</v>
      </c>
      <c r="B297" s="11">
        <v>45642</v>
      </c>
      <c r="C297" s="2" t="s">
        <v>17</v>
      </c>
      <c r="D297" s="2" t="s">
        <v>104</v>
      </c>
      <c r="E297" s="2" t="s">
        <v>23</v>
      </c>
      <c r="F297" s="2" t="s">
        <v>36</v>
      </c>
      <c r="G297" s="2">
        <v>30</v>
      </c>
      <c r="H297" s="3">
        <v>10.33</v>
      </c>
      <c r="I297" s="3">
        <v>309.89999999999998</v>
      </c>
      <c r="J297" s="3">
        <v>198.18</v>
      </c>
      <c r="K297" s="3">
        <v>111.72</v>
      </c>
      <c r="L297" s="2" t="s">
        <v>37</v>
      </c>
      <c r="M297" s="2">
        <v>3.4</v>
      </c>
    </row>
    <row r="298" spans="1:13" x14ac:dyDescent="0.25">
      <c r="A298" s="2" t="s">
        <v>370</v>
      </c>
      <c r="B298" s="11">
        <v>45633</v>
      </c>
      <c r="C298" s="2" t="s">
        <v>14</v>
      </c>
      <c r="D298" s="2" t="s">
        <v>13</v>
      </c>
      <c r="E298" s="2" t="s">
        <v>23</v>
      </c>
      <c r="F298" s="2" t="s">
        <v>40</v>
      </c>
      <c r="G298" s="2">
        <v>42</v>
      </c>
      <c r="H298" s="3">
        <v>186.61</v>
      </c>
      <c r="I298" s="3">
        <v>7837.62</v>
      </c>
      <c r="J298" s="3">
        <v>3296.54</v>
      </c>
      <c r="K298" s="3">
        <v>4541.08</v>
      </c>
      <c r="L298" s="2" t="s">
        <v>37</v>
      </c>
      <c r="M298" s="2">
        <v>4.3</v>
      </c>
    </row>
    <row r="299" spans="1:13" x14ac:dyDescent="0.25">
      <c r="A299" s="2" t="s">
        <v>371</v>
      </c>
      <c r="B299" s="11">
        <v>45644</v>
      </c>
      <c r="C299" s="2" t="s">
        <v>14</v>
      </c>
      <c r="D299" s="2" t="s">
        <v>56</v>
      </c>
      <c r="E299" s="2" t="s">
        <v>25</v>
      </c>
      <c r="F299" s="2" t="s">
        <v>40</v>
      </c>
      <c r="G299" s="2">
        <v>28</v>
      </c>
      <c r="H299" s="3">
        <v>331.19</v>
      </c>
      <c r="I299" s="3">
        <v>9273.32</v>
      </c>
      <c r="J299" s="3">
        <v>5340.73</v>
      </c>
      <c r="K299" s="3">
        <v>3932.59</v>
      </c>
      <c r="L299" s="2" t="s">
        <v>37</v>
      </c>
      <c r="M299" s="2">
        <v>3</v>
      </c>
    </row>
    <row r="300" spans="1:13" x14ac:dyDescent="0.25">
      <c r="A300" s="2" t="s">
        <v>372</v>
      </c>
      <c r="B300" s="11">
        <v>45631</v>
      </c>
      <c r="C300" s="2" t="s">
        <v>12</v>
      </c>
      <c r="D300" s="2" t="s">
        <v>42</v>
      </c>
      <c r="E300" s="2" t="s">
        <v>22</v>
      </c>
      <c r="F300" s="2" t="s">
        <v>43</v>
      </c>
      <c r="G300" s="2">
        <v>44</v>
      </c>
      <c r="H300" s="3">
        <v>228.08</v>
      </c>
      <c r="I300" s="3">
        <v>10035.52</v>
      </c>
      <c r="J300" s="3">
        <v>4034.44</v>
      </c>
      <c r="K300" s="3">
        <v>6001.08</v>
      </c>
      <c r="L300" s="2" t="s">
        <v>37</v>
      </c>
      <c r="M300" s="2">
        <v>3.7</v>
      </c>
    </row>
    <row r="301" spans="1:13" x14ac:dyDescent="0.25">
      <c r="A301" s="2" t="s">
        <v>373</v>
      </c>
      <c r="B301" s="11">
        <v>45650</v>
      </c>
      <c r="C301" s="2" t="s">
        <v>19</v>
      </c>
      <c r="D301" s="2" t="s">
        <v>39</v>
      </c>
      <c r="E301" s="2" t="s">
        <v>24</v>
      </c>
      <c r="F301" s="2" t="s">
        <v>36</v>
      </c>
      <c r="G301" s="2">
        <v>15</v>
      </c>
      <c r="H301" s="3">
        <v>197.7</v>
      </c>
      <c r="I301" s="3">
        <v>2965.5</v>
      </c>
      <c r="J301" s="3">
        <v>1727.97</v>
      </c>
      <c r="K301" s="3">
        <v>1237.53</v>
      </c>
      <c r="L301" s="2" t="s">
        <v>47</v>
      </c>
      <c r="M301" s="2">
        <v>3.2</v>
      </c>
    </row>
  </sheetData>
  <autoFilter ref="A1:M30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</vt:lpstr>
      <vt:lpstr>Analisis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2026-03-04T04:46:43Z</dcterms:created>
  <dcterms:modified xsi:type="dcterms:W3CDTF">2026-03-04T17:54:25Z</dcterms:modified>
</cp:coreProperties>
</file>